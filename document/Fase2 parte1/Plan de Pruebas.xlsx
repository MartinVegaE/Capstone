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Identificación Casos" sheetId="2" r:id="rId5"/>
    <sheet state="visible" name="Control" sheetId="3" r:id="rId6"/>
    <sheet state="hidden" name="Datos del plan" sheetId="4" r:id="rId7"/>
  </sheets>
  <definedNames/>
  <calcPr/>
  <extLst>
    <ext uri="GoogleSheetsCustomDataVersion2">
      <go:sheetsCustomData xmlns:go="http://customooxmlschemas.google.com/" r:id="rId8" roundtripDataChecksum="qtMOdb4dneI+FUN+oy0DSLrrrI3QesuAVhA3/dkyn7A="/>
    </ext>
  </extLst>
</workbook>
</file>

<file path=xl/sharedStrings.xml><?xml version="1.0" encoding="utf-8"?>
<sst xmlns="http://schemas.openxmlformats.org/spreadsheetml/2006/main" count="926" uniqueCount="445">
  <si>
    <t>Plan de pruebas</t>
  </si>
  <si>
    <t xml:space="preserve">Integrantes:
Vicente Gutierrez
Martín Vega
Monserrat Vilches
Nicolás Yañez
</t>
  </si>
  <si>
    <t>ID</t>
  </si>
  <si>
    <t>Nombre de la prueba</t>
  </si>
  <si>
    <t>Tipo</t>
  </si>
  <si>
    <t>Resultado esperado</t>
  </si>
  <si>
    <t>Resultado obtenido</t>
  </si>
  <si>
    <t>Modulo a probar</t>
  </si>
  <si>
    <t>Resultado</t>
  </si>
  <si>
    <t>Responsable ejecución</t>
  </si>
  <si>
    <t>Complejidad</t>
  </si>
  <si>
    <t>TP-001</t>
  </si>
  <si>
    <t>Login con credenciales válidas</t>
  </si>
  <si>
    <t>Funcional</t>
  </si>
  <si>
    <t>Acceso concedido y redirección al dashboard</t>
  </si>
  <si>
    <t>Inicio de sesión correcto.</t>
  </si>
  <si>
    <t>Autenticación</t>
  </si>
  <si>
    <t>OK</t>
  </si>
  <si>
    <t>Vicente Gutierrez</t>
  </si>
  <si>
    <t>Baja</t>
  </si>
  <si>
    <t>TP-002</t>
  </si>
  <si>
    <t>Login con credenciales inválidas</t>
  </si>
  <si>
    <t>Mensaje de error sin revelar detalle de credenciales</t>
  </si>
  <si>
    <t>Pequeño mensaje con advertencia de error.</t>
  </si>
  <si>
    <t>TP-003</t>
  </si>
  <si>
    <t>Control de acceso por rol (Admin vs Bodeguero)</t>
  </si>
  <si>
    <t>Stress</t>
  </si>
  <si>
    <t>Rutas y botones restringidos según rol</t>
  </si>
  <si>
    <t>Rutas protegidas en base a rol correctamente.</t>
  </si>
  <si>
    <t>Autorización</t>
  </si>
  <si>
    <t>Monserrat Vilches</t>
  </si>
  <si>
    <t>Media</t>
  </si>
  <si>
    <t>TP-004</t>
  </si>
  <si>
    <t>Crear producto básico</t>
  </si>
  <si>
    <t>Producto se crea con SKU único</t>
  </si>
  <si>
    <t>Producto creado correctamente con SKU único.</t>
  </si>
  <si>
    <t>Productos</t>
  </si>
  <si>
    <t>Nicolás Yañez</t>
  </si>
  <si>
    <t>TP-005</t>
  </si>
  <si>
    <t>Editar producto (nombre, unidad, estado)</t>
  </si>
  <si>
    <t>Cambios visibles en listados y detalle</t>
  </si>
  <si>
    <t>Cambios en listados y detalle almacenado y visualizado correctamente.</t>
  </si>
  <si>
    <t>TP-006</t>
  </si>
  <si>
    <t>Listar productos con paginación</t>
  </si>
  <si>
    <t>Se muestran N ítems por página y navegación correcta</t>
  </si>
  <si>
    <t>Paginación y navegación correctamente desplegada.</t>
  </si>
  <si>
    <t>TP-007</t>
  </si>
  <si>
    <t>Filtrar productos por bodega</t>
  </si>
  <si>
    <t>Lista acotada según filtros</t>
  </si>
  <si>
    <t>Lista filtrada correctamente.</t>
  </si>
  <si>
    <t>Productos/Inventario</t>
  </si>
  <si>
    <t>TP-008</t>
  </si>
  <si>
    <t>Crear bodega y ubicación</t>
  </si>
  <si>
    <t>Bodega y ubicaciones quedan disponibles</t>
  </si>
  <si>
    <t>Bodega y ubicación registrados y almacenados correctamente.</t>
  </si>
  <si>
    <t>Bodegas/Ubicaciones</t>
  </si>
  <si>
    <t>TP-009</t>
  </si>
  <si>
    <t>Registrar SKU al ingresar stock</t>
  </si>
  <si>
    <t>SKU creado y asociado a producto</t>
  </si>
  <si>
    <t>SKU creado y registrado.</t>
  </si>
  <si>
    <t>Lotes/Movimientos</t>
  </si>
  <si>
    <t>TP-010</t>
  </si>
  <si>
    <t>Solicitud de material (creación)</t>
  </si>
  <si>
    <t>Solicitud queda en estado “Pendiente”</t>
  </si>
  <si>
    <t>X</t>
  </si>
  <si>
    <t>Peticiones</t>
  </si>
  <si>
    <t>Bloqueado</t>
  </si>
  <si>
    <t>TP-011</t>
  </si>
  <si>
    <t>Aprobación de solicitud</t>
  </si>
  <si>
    <t>Estado pasa a “Aprobada”</t>
  </si>
  <si>
    <t>TP-012</t>
  </si>
  <si>
    <t>Rechazo de solicitud</t>
  </si>
  <si>
    <t>Estado pasa a “Rechazada” con motivo</t>
  </si>
  <si>
    <t>TP-013</t>
  </si>
  <si>
    <t>Reserva de stock al preparar pedido</t>
  </si>
  <si>
    <t>UAT</t>
  </si>
  <si>
    <t>Stock reservado por lote sin afectar stock disponible global</t>
  </si>
  <si>
    <t>Preparación/Reserva</t>
  </si>
  <si>
    <t>TP-014</t>
  </si>
  <si>
    <t>Picking por ubicación</t>
  </si>
  <si>
    <t>Se genera lista de picking ordenada por pasillo/ubicación</t>
  </si>
  <si>
    <t>Preparación</t>
  </si>
  <si>
    <t>TP-015</t>
  </si>
  <si>
    <t>Despacho (movimiento de salida)</t>
  </si>
  <si>
    <t>Se registra salida con SKU y cantidad</t>
  </si>
  <si>
    <t>Se registra la salida correctamente.</t>
  </si>
  <si>
    <t>Despacho/Kardex</t>
  </si>
  <si>
    <t>TP-016</t>
  </si>
  <si>
    <t>Recepción en obra (total)</t>
  </si>
  <si>
    <t>Entrada a bodega de obra, kardex actualizado</t>
  </si>
  <si>
    <t>Recepción</t>
  </si>
  <si>
    <t>Obsoleto</t>
  </si>
  <si>
    <t>TP-017</t>
  </si>
  <si>
    <t>Recepción parcial</t>
  </si>
  <si>
    <t>Entrada parcial y saldo pendiente</t>
  </si>
  <si>
    <t>TP-018</t>
  </si>
  <si>
    <t>Devolución de materiales</t>
  </si>
  <si>
    <t>Movimiento inverso con trazabilidad</t>
  </si>
  <si>
    <t>Proceso de devolución exitoso.</t>
  </si>
  <si>
    <t>Devoluciones</t>
  </si>
  <si>
    <t>TP-019</t>
  </si>
  <si>
    <t>Movimiento manual con autorización</t>
  </si>
  <si>
    <t>Solo rol autorizado puede ejecutarlo</t>
  </si>
  <si>
    <t>Solo rol autorizado ejecuta/autoriza.</t>
  </si>
  <si>
    <t>Movimientos</t>
  </si>
  <si>
    <t>TP-020</t>
  </si>
  <si>
    <t>Recalcular costo promedio</t>
  </si>
  <si>
    <t>Costo promedio actualizado según fórmula definida</t>
  </si>
  <si>
    <t>Costo recalculado correctamente.</t>
  </si>
  <si>
    <t>Costos</t>
  </si>
  <si>
    <t>Alta</t>
  </si>
  <si>
    <t>TP-021</t>
  </si>
  <si>
    <t>Kardex por producto/bodega</t>
  </si>
  <si>
    <t>Secuencia de entradas/salidas consistente</t>
  </si>
  <si>
    <t>Entradas/salidas consistentes.</t>
  </si>
  <si>
    <t>Reportes/Kardex</t>
  </si>
  <si>
    <t>TP-022</t>
  </si>
  <si>
    <t>Reporte de stock por bodega</t>
  </si>
  <si>
    <t>Saldos correctos por bodega/ubicación</t>
  </si>
  <si>
    <t>Reportes representan los datos correctamente.</t>
  </si>
  <si>
    <t>Reportes</t>
  </si>
  <si>
    <t>TP-023</t>
  </si>
  <si>
    <t>Alerta de bajo stock</t>
  </si>
  <si>
    <t>Notificación visible/email cuando stock &lt; umbral</t>
  </si>
  <si>
    <t>Notificación visible debajo de umbral.</t>
  </si>
  <si>
    <t>Alertas</t>
  </si>
  <si>
    <t>TP-024</t>
  </si>
  <si>
    <t>Concurrencia: dos reservas iguales</t>
  </si>
  <si>
    <t>No se sobre-reserva</t>
  </si>
  <si>
    <t>Sobre-reserva.</t>
  </si>
  <si>
    <t>NOK</t>
  </si>
  <si>
    <t>TP-025</t>
  </si>
  <si>
    <t>Permisos: operador no ve “Administración”</t>
  </si>
  <si>
    <t>Menús y rutas ocultos/bloqueados</t>
  </si>
  <si>
    <t>Menus/rutas protegidas no visibles para operadores.</t>
  </si>
  <si>
    <t>UI/Autorización</t>
  </si>
  <si>
    <t>TP-026</t>
  </si>
  <si>
    <t>Validación de payload API (crear producto)</t>
  </si>
  <si>
    <t>400 con errores descriptivos</t>
  </si>
  <si>
    <t>Error 400 y verbose en respuesta.</t>
  </si>
  <si>
    <t>API</t>
  </si>
  <si>
    <t>TP-027</t>
  </si>
  <si>
    <t>Paginación API estable (límite y orden)</t>
  </si>
  <si>
    <t>Respeta page/pageSize/sortDir</t>
  </si>
  <si>
    <t>Límites respetados.</t>
  </si>
  <si>
    <t>TP-028</t>
  </si>
  <si>
    <t>Búsqueda por SKU/nombre</t>
  </si>
  <si>
    <t>Coincidencias relevantes</t>
  </si>
  <si>
    <t>Búsqueda realizada correctamente.</t>
  </si>
  <si>
    <t>TP-029</t>
  </si>
  <si>
    <t>Tiempo de respuesta /productos (N=1000)</t>
  </si>
  <si>
    <t>Rendimiento</t>
  </si>
  <si>
    <t>&lt; 500 ms en entorno local</t>
  </si>
  <si>
    <t>Tiempos de respuesta bajo umbrales establecidos.</t>
  </si>
  <si>
    <t>API/Performance</t>
  </si>
  <si>
    <t>TP-030</t>
  </si>
  <si>
    <t>Carga inicial del dashboard</t>
  </si>
  <si>
    <t>&lt; 2 s con datos semilla</t>
  </si>
  <si>
    <t>Frontend/Performance</t>
  </si>
  <si>
    <t>TP-031</t>
  </si>
  <si>
    <t>Carga de tarjetas de resumen (KPIs)</t>
  </si>
  <si>
    <t>Las tarjetas (Total Productos, Valor Total) muestran datos numéricos coinciden con la BD.</t>
  </si>
  <si>
    <t>Los datos se muestran correctamente.</t>
  </si>
  <si>
    <t>Dashboard</t>
  </si>
  <si>
    <t>TP-032</t>
  </si>
  <si>
    <t>Visualización de gráfico "Movimientos de Stock"</t>
  </si>
  <si>
    <t>UI</t>
  </si>
  <si>
    <t>El gráfico se renderiza correctamente y muestra datos de los últimos meses.</t>
  </si>
  <si>
    <t>Deshabilitado.</t>
  </si>
  <si>
    <t>TP-033</t>
  </si>
  <si>
    <t>Visualización de gráfico "Distribución por Categoría"</t>
  </si>
  <si>
    <t>El gráfico de torta muestra porcentajes y leyendas legibles.</t>
  </si>
  <si>
    <t>TP-034</t>
  </si>
  <si>
    <t>Responsividad del Sidebar (Menú lateral)</t>
  </si>
  <si>
    <t>El menú se contrae/expande correctamente en resoluciones menores (móvil/tablet).</t>
  </si>
  <si>
    <t>El menú sí se contrae correctamente, pero la sidebar no.</t>
  </si>
  <si>
    <t>UI/Nav</t>
  </si>
  <si>
    <t>TP-035</t>
  </si>
  <si>
    <t>Navegación rápida desde KPIs</t>
  </si>
  <si>
    <t>Navegación</t>
  </si>
  <si>
    <t>Al hacer clic en la tarjeta "Bajo Stock", redirige a la vista de Inventario filtrada.</t>
  </si>
  <si>
    <t>TP-036</t>
  </si>
  <si>
    <t>Crear producto con Stock Negativo</t>
  </si>
  <si>
    <t>El sistema valida y bloquea la entrada de números negativos en campo "Stock Inicial".</t>
  </si>
  <si>
    <t>No permite crear productos con Stock negativo.</t>
  </si>
  <si>
    <t>Inventario</t>
  </si>
  <si>
    <t>TP-037</t>
  </si>
  <si>
    <t>Crear producto con Precio cero</t>
  </si>
  <si>
    <t>El sistema permite (o advierte) precio 0, pero no bloquea si es un activo interno.</t>
  </si>
  <si>
    <t>No permite crear productos con Precio negativo.</t>
  </si>
  <si>
    <t>TP-038</t>
  </si>
  <si>
    <t>Validación de longitud de SKU</t>
  </si>
  <si>
    <t>El campo SKU no permite más caracteres de los definidos en BD (ej. 20 chars).</t>
  </si>
  <si>
    <t>No hay numero definido de caracteres.</t>
  </si>
  <si>
    <t>TP-039</t>
  </si>
  <si>
    <t>Crear producto con Proveedor vacío</t>
  </si>
  <si>
    <t>Si es obligatorio, muestra error. Si es opcional, permite guardar.</t>
  </si>
  <si>
    <t>No permite dejar vacio este apartado.</t>
  </si>
  <si>
    <t>TP-040</t>
  </si>
  <si>
    <t>Ordenar grilla por SKU (Asc/Desc)</t>
  </si>
  <si>
    <t>La tabla se reordena correctamente al hacer clic en la cabecera "SKU".</t>
  </si>
  <si>
    <t>Se ordena correctamente por SKU.</t>
  </si>
  <si>
    <t>TP-041</t>
  </si>
  <si>
    <t>Ordenar grilla por Stock (Asc/Desc)</t>
  </si>
  <si>
    <t>La tabla se reordena para mostrar primero los de mayor/menor stock.</t>
  </si>
  <si>
    <t>Se ordena correctamente por Stock.</t>
  </si>
  <si>
    <t>TP-042</t>
  </si>
  <si>
    <t>Edición de "Ubicación" de producto</t>
  </si>
  <si>
    <t>Al cambiar la ubicación en el modal, el cambio se refleja en la tabla inmediatamente.</t>
  </si>
  <si>
    <t>El cambio se aplica correctamente.</t>
  </si>
  <si>
    <t>TP-043</t>
  </si>
  <si>
    <t>Eliminación de producto con movimientos</t>
  </si>
  <si>
    <t>No debe permitir eliminar (físicamente) un producto que ya tiene historial (Soft Delete).</t>
  </si>
  <si>
    <t>El sistema bloquea cualquier tipo de borrado lógico.</t>
  </si>
  <si>
    <t>TP-044</t>
  </si>
  <si>
    <t>Búsqueda por "Categoría"</t>
  </si>
  <si>
    <t>El buscador global filtra correctamente al escribir el nombre de una categoría.</t>
  </si>
  <si>
    <t>Permite realizar una búsqueda en la página por categoría.</t>
  </si>
  <si>
    <t>TP-045</t>
  </si>
  <si>
    <t>Cancelar creación de producto</t>
  </si>
  <si>
    <t>Al presionar "Cancelar" en el modal, se cierra y no se guardan datos, limpiando el form.</t>
  </si>
  <si>
    <t>Botón funciona correctamente.</t>
  </si>
  <si>
    <t>TP-046</t>
  </si>
  <si>
    <t>Crear nuevo Centro de costos (Campos válidos)</t>
  </si>
  <si>
    <t>El Centro de costos se crea y aparece en la lista con estado "En Progreso" (o default).</t>
  </si>
  <si>
    <t>El formulario permite crear un nuevo proyecto con datos validos.</t>
  </si>
  <si>
    <t>Centro de costos</t>
  </si>
  <si>
    <t>TP-047</t>
  </si>
  <si>
    <t>Bloqueo de edición de SKU con movimientos</t>
  </si>
  <si>
    <t>El sistema impide editar el SKU si el producto ya tiene historial.</t>
  </si>
  <si>
    <t>El sistema bloque la edicion de SKU de productos con historial.</t>
  </si>
  <si>
    <t>TP-048</t>
  </si>
  <si>
    <t>Crear Centro de Costos con Presupuesto Inválido</t>
  </si>
  <si>
    <t>Validación</t>
  </si>
  <si>
    <t>Error al ingresar presupuesto 0 o negativo al definir el Centro de Costos.</t>
  </si>
  <si>
    <t>El sistema no permite crear un centro de costos con un presupuesto invalido.</t>
  </si>
  <si>
    <t>TP-049</t>
  </si>
  <si>
    <t>Editar nombre del Centro de costos</t>
  </si>
  <si>
    <t>El cambio de nombre se refleja en la lista y en los selectores de otras vistas.</t>
  </si>
  <si>
    <t>Permite editar el nombre del centro de costos correctamente.</t>
  </si>
  <si>
    <t>TP-050</t>
  </si>
  <si>
    <t>Cambio de Estado (Activo -&gt; Inactivo)</t>
  </si>
  <si>
    <t>Al cambiar estado a "Inactivo", el progreso visual cambia al 100% (si aplica).</t>
  </si>
  <si>
    <t>Se aplica el cambio de forma correcta.</t>
  </si>
  <si>
    <t>TP-051</t>
  </si>
  <si>
    <t>Eliminar Centro de costos Activo</t>
  </si>
  <si>
    <t>Confirmación de seguridad antes de eliminar.</t>
  </si>
  <si>
    <t>Se permite elimina el centro de costos.</t>
  </si>
  <si>
    <t>TP-052</t>
  </si>
  <si>
    <t>Búsqueda de Centros de costos por ID</t>
  </si>
  <si>
    <t>El buscador encuentra el proyecto exacto al ingresar su ID.</t>
  </si>
  <si>
    <t>Se permite buscar los centros de costos por ID.</t>
  </si>
  <si>
    <t>TP-053</t>
  </si>
  <si>
    <t>Visualización de Centro de costos ya creado</t>
  </si>
  <si>
    <t>El Centro de costos se visualiza en la pagina.</t>
  </si>
  <si>
    <t>El centro de costos se visualiza correctamente.</t>
  </si>
  <si>
    <t>TP-054</t>
  </si>
  <si>
    <t>Paginación en lista de Centro de costos</t>
  </si>
  <si>
    <t>Si hay más de 10 proyectos, aparecen controles de paginación funcionales.</t>
  </si>
  <si>
    <t>No esta implementada la paginacion en la pagina.</t>
  </si>
  <si>
    <t>TP-055</t>
  </si>
  <si>
    <t>Filtrar Peticiones por Estado</t>
  </si>
  <si>
    <t>La lista filtra correctamente solo Activo/Inactivo</t>
  </si>
  <si>
    <t>La pagina filtra correctamente las peticiones por estado.</t>
  </si>
  <si>
    <t>TP-056</t>
  </si>
  <si>
    <t>Crear Solicitud de Material (Flujo Básico)</t>
  </si>
  <si>
    <t>Solicitud creada exitosamente.</t>
  </si>
  <si>
    <t>Solicitudes</t>
  </si>
  <si>
    <t>TP-057</t>
  </si>
  <si>
    <t>Solicitar material sin Stock suficiente</t>
  </si>
  <si>
    <t>Negativo</t>
  </si>
  <si>
    <t>El sistema impide crear la solicitud o muestra advertencia de "Stock Insuficiente".</t>
  </si>
  <si>
    <t>El sistema bloquea la solicitud "creada" y advierte al usuario respecto al stock disponible.</t>
  </si>
  <si>
    <t>TP-058</t>
  </si>
  <si>
    <t>Solicitar material para Centro de costos inexistente</t>
  </si>
  <si>
    <t>No debería ser posible (el selector de proyectos debe ser una lista cerrada).</t>
  </si>
  <si>
    <t>El sistema no permite generar una solicitud hacia un centro de costos inexistente.</t>
  </si>
  <si>
    <t>TP-059</t>
  </si>
  <si>
    <t>Solicitud cambia de estado (Activo)</t>
  </si>
  <si>
    <t>Estado cambia a "Activo" y se descuenta el stock del inventario principal.</t>
  </si>
  <si>
    <t>El estado de la solicitud cambia correctamente.</t>
  </si>
  <si>
    <t>TP-060</t>
  </si>
  <si>
    <t>Solicitud cambia de estado (Inactivo)</t>
  </si>
  <si>
    <t>Estado cambia a "Inactivo" y el stock NO se descuenta (o se libera si estaba reservado).</t>
  </si>
  <si>
    <t>TP-061</t>
  </si>
  <si>
    <t>Filtrar solicitudes por estado.</t>
  </si>
  <si>
    <t>La lista solo muestra las solicitudes que requieren acción.</t>
  </si>
  <si>
    <t>El sistema filtra las solicitudes por estado.</t>
  </si>
  <si>
    <t>TP-062</t>
  </si>
  <si>
    <t>Ver detalle de Solicitud</t>
  </si>
  <si>
    <t>Al hacer clic, muestra el desglose de productos solicitados y cantidades.</t>
  </si>
  <si>
    <t>Se muestran los detalles de las solicitudes correctamente.</t>
  </si>
  <si>
    <t>TP-063</t>
  </si>
  <si>
    <t>Validación de cantidad cero en solicitud</t>
  </si>
  <si>
    <t>No se puede agregar un ítem a la solicitud con cantidad 0 o negativa.</t>
  </si>
  <si>
    <t>El sistema no permite agregar un item con catnidad 0 o negativa.</t>
  </si>
  <si>
    <t>TP-064</t>
  </si>
  <si>
    <t>Notificación de cambio de estado</t>
  </si>
  <si>
    <t>El solicitante ve el cambio de estado cuando la solicitud esta Activa/Inactiva.</t>
  </si>
  <si>
    <t>TP-065</t>
  </si>
  <si>
    <t>Historial de solicitudes por Proyecto</t>
  </si>
  <si>
    <t>Poder filtrar todas las solicitudes asociadas a un Proyecto "X".</t>
  </si>
  <si>
    <t>El sistema permite filtrar las solicitudes por proyecto.</t>
  </si>
  <si>
    <t>TP-066</t>
  </si>
  <si>
    <t>Generar reporte sin seleccionar fechas</t>
  </si>
  <si>
    <t>Asignación automática de rango por defecto (ej. mes actual).</t>
  </si>
  <si>
    <t>TP-067</t>
  </si>
  <si>
    <t>Generar reporte con Rango inválido (Fin &lt; Inicio)</t>
  </si>
  <si>
    <t>El sistema bloquea la acción o intercambia las fechas automáticamente.</t>
  </si>
  <si>
    <t>TP-068</t>
  </si>
  <si>
    <t>Generar reporte "Sin datos"</t>
  </si>
  <si>
    <t>Si se selecciona un rango sin movimientos, el reporte se genera vacío (sin romper el sistema).</t>
  </si>
  <si>
    <t>TP-069</t>
  </si>
  <si>
    <t>Exportar Reporte a PDF</t>
  </si>
  <si>
    <t>Se descarga un archivo .pdf legible y con formato correcto.</t>
  </si>
  <si>
    <t>El formato PDF no es una de las opciones disponibles.</t>
  </si>
  <si>
    <t>TP-070</t>
  </si>
  <si>
    <t>Exportar Reporte a Excel/CSV</t>
  </si>
  <si>
    <t>Se descarga un archivo con los datos en columnas separadas.</t>
  </si>
  <si>
    <t>TP-071</t>
  </si>
  <si>
    <t>Reporte de Movimientos por Categoría</t>
  </si>
  <si>
    <t>Los datos agrupados coinciden con la suma de movimientos individuales.</t>
  </si>
  <si>
    <t>TP-072</t>
  </si>
  <si>
    <t>Visualización de tabla previa al export</t>
  </si>
  <si>
    <t>La vista previa de datos en pantalla coincide con el archivo descargado.</t>
  </si>
  <si>
    <t>TP-073</t>
  </si>
  <si>
    <t>Filtrado de reporte por "Centro de costos"</t>
  </si>
  <si>
    <t>El reporte solo incluye materiales consumidos por el Centro de costos seleccionado.</t>
  </si>
  <si>
    <t>TP-074</t>
  </si>
  <si>
    <t>Crear usuario con email existente</t>
  </si>
  <si>
    <t>Error: "El correo electrónico ya está registrado".</t>
  </si>
  <si>
    <t>No se permite crear otro usuario con un correo que ya posee un usuario.</t>
  </si>
  <si>
    <t>Usuarios</t>
  </si>
  <si>
    <t>TP-075</t>
  </si>
  <si>
    <t>Validación formato Email</t>
  </si>
  <si>
    <t>Error si el correo no tiene formato válido (ej. falta @).</t>
  </si>
  <si>
    <t>TP-076</t>
  </si>
  <si>
    <t>Crear usuario con Rol "Administrador"</t>
  </si>
  <si>
    <t>El usuario nuevo tiene acceso total a menús restringidos.</t>
  </si>
  <si>
    <t>TP-077</t>
  </si>
  <si>
    <t>Crear usuario con Rol "Operador/Bodeguero"</t>
  </si>
  <si>
    <t>El usuario nuevo NO ve el menú "Usuarios" ni puede aprobar solicitudes.</t>
  </si>
  <si>
    <t>TP-078</t>
  </si>
  <si>
    <t>Desactivar Usuario (Soft Delete)</t>
  </si>
  <si>
    <t>El usuario cambia de estado a "Inactivo" y no puede hacer login.</t>
  </si>
  <si>
    <t>TP-079</t>
  </si>
  <si>
    <t>Editar contraseña de otro usuario</t>
  </si>
  <si>
    <t>Solo el Admin puede resetear contraseñas (verificar política de seguridad).</t>
  </si>
  <si>
    <t>Solo el Admin puede resetear contraseñas.</t>
  </si>
  <si>
    <t>TP-080</t>
  </si>
  <si>
    <t>Autoregistro (Si aplica) o Bloqueo</t>
  </si>
  <si>
    <t>Seguridad</t>
  </si>
  <si>
    <t>Verificar si la ruta de registro /register es pública (debería estar protegida).</t>
  </si>
  <si>
    <t>La página solo permite que el admin registre nuevos usuarios.</t>
  </si>
  <si>
    <t>TP-081</t>
  </si>
  <si>
    <t>Timeout de Sesión</t>
  </si>
  <si>
    <t>El sistema cierra sesión automáticamente tras X minutos de inactividad.</t>
  </si>
  <si>
    <t>La pagina cierra secion despues de X cantidad de minutos.</t>
  </si>
  <si>
    <t>Auth</t>
  </si>
  <si>
    <t>TP-082</t>
  </si>
  <si>
    <t>Navegación con URL directa (Deep linking)</t>
  </si>
  <si>
    <t>Intentar acceder a /usuarios sin estar logueado -&gt; Redirección al Login.</t>
  </si>
  <si>
    <t>La pagina no permite acceder a esos apartados sin estar logeado.</t>
  </si>
  <si>
    <t>TP-083</t>
  </si>
  <si>
    <t>Inyección SQL en Login</t>
  </si>
  <si>
    <t>Ingresar ' OR '1'='1 no permite acceso.</t>
  </si>
  <si>
    <t>TP-084</t>
  </si>
  <si>
    <t>Inyección XSS en campo "Descripción"</t>
  </si>
  <si>
    <t>Ingresar &lt;script&gt;alert('xss')&lt;/script&gt; se guarda como texto plano, no se ejecuta.</t>
  </si>
  <si>
    <t>TP-085</t>
  </si>
  <si>
    <t>Carga masiva de datos (1000 productos)</t>
  </si>
  <si>
    <t>La vista de inventario carga en &lt; 5 segundos.</t>
  </si>
  <si>
    <t>TP-086</t>
  </si>
  <si>
    <t>Comportamiento del botón "Atrás" del navegador</t>
  </si>
  <si>
    <t>Usabilidad</t>
  </si>
  <si>
    <t>El usuario regresa a la vista anterior manteniendo el estado (si aplica).</t>
  </si>
  <si>
    <t>El usuario regresa a la vista anterior manteniendo el estado.</t>
  </si>
  <si>
    <t>TP-087</t>
  </si>
  <si>
    <t>Tabulación lógica en formularios</t>
  </si>
  <si>
    <t>Al presionar TAB, el cursor salta al siguiente campo lógico en modales.</t>
  </si>
  <si>
    <t>TP-088</t>
  </si>
  <si>
    <t>Mensajes de "Toast" (Feedback)</t>
  </si>
  <si>
    <t>Al guardar/borrar, aparece mensaje flotante verde ("Éxito") o rojo ("Error").</t>
  </si>
  <si>
    <t>Las acciones no contienen feedback, ya que los resultados son instantáneos.</t>
  </si>
  <si>
    <t>TP-089</t>
  </si>
  <si>
    <t>Formato de Moneda consistente</t>
  </si>
  <si>
    <t>Todos los precios muestran el símbolo $ y separadores de miles correctamente.</t>
  </si>
  <si>
    <t>TP-090</t>
  </si>
  <si>
    <t>Fecha formato local</t>
  </si>
  <si>
    <t>Las fechas se muestran como DD/MM/AAAA y no en formato americano o timestamp.</t>
  </si>
  <si>
    <t>Las fechas se muestran como DD/MM/AAAA.</t>
  </si>
  <si>
    <t>TP-091</t>
  </si>
  <si>
    <t>E2E: Ciclo de vida de una Petición</t>
  </si>
  <si>
    <t>E2E</t>
  </si>
  <si>
    <t>Crear Petición -&gt; Bodeguero ve Petición -&gt; Admin Aprueba -&gt; Stock baja.</t>
  </si>
  <si>
    <t>Integración</t>
  </si>
  <si>
    <t>TP-092</t>
  </si>
  <si>
    <t>E2E: Crear Centro de costos y Asignar Recursos</t>
  </si>
  <si>
    <t>Crear Centro de costos -&gt; Generar Solicitud asociada a ese proyecto -&gt; Ver costo en reporte.</t>
  </si>
  <si>
    <t>El ciclo es correcto.</t>
  </si>
  <si>
    <t>TP-093</t>
  </si>
  <si>
    <t>Validación de unicidad de Correo</t>
  </si>
  <si>
    <t>Error controlado al registrar un email duplicado.</t>
  </si>
  <si>
    <t>No se permite crear otra cuenta con un correo ya utilizado.</t>
  </si>
  <si>
    <t>TP-094</t>
  </si>
  <si>
    <t>Generación de Guía de Despacho (PDF)</t>
  </si>
  <si>
    <t>Se genera archivo PDF con el detalle del despacho hacia el Centro de Costos.</t>
  </si>
  <si>
    <t>Despacho</t>
  </si>
  <si>
    <t>TP-095</t>
  </si>
  <si>
    <t>Búsqueda combinada (Nombre + Bodega)</t>
  </si>
  <si>
    <t>El sistema filtra resultados aplicando ambos criterios simultáneamente.</t>
  </si>
  <si>
    <t>TP-096</t>
  </si>
  <si>
    <t>Uso de emojis en campos de texto</t>
  </si>
  <si>
    <t>El sistema permite guardar nombres con tildes y ñ sin romperse.</t>
  </si>
  <si>
    <t>El sistema permite utilizar tildes y ñ sin romperse.</t>
  </si>
  <si>
    <t>Transversal</t>
  </si>
  <si>
    <t>TP-097</t>
  </si>
  <si>
    <t>Subida de imagen de producto muy pesada</t>
  </si>
  <si>
    <t>Error controlado "La imagen excede el tamaño máximo (ej. 5MB)".</t>
  </si>
  <si>
    <t>Las imagenes se sube en formato de "Link".</t>
  </si>
  <si>
    <t>TP-098</t>
  </si>
  <si>
    <t>Subida de archivo no imagen (pdf/exe)</t>
  </si>
  <si>
    <t>Error controlado "Formato de archivo no válido".</t>
  </si>
  <si>
    <t>La pagina no tiene opcion para subir archivos.</t>
  </si>
  <si>
    <t>TP-099</t>
  </si>
  <si>
    <t>Edición concurrente (mismo producto)</t>
  </si>
  <si>
    <t>Concurrencia</t>
  </si>
  <si>
    <t>Usuario A y B editan mismo producto. Gana el último o avisa conflicto.</t>
  </si>
  <si>
    <t>No permitido, el producto solo puede ser visualizado desde un usuario.</t>
  </si>
  <si>
    <t>TP-100</t>
  </si>
  <si>
    <t>Borrado de categoría en uso</t>
  </si>
  <si>
    <t>Intentar borrar una categoría asignada a productos -&gt; Error "Categoría en uso".</t>
  </si>
  <si>
    <t>No se permite eliminar categorias ni sub-categorias en caso de estar asignadas a productos.</t>
  </si>
  <si>
    <t>Casos</t>
  </si>
  <si>
    <t>No ejecutado</t>
  </si>
  <si>
    <t>Total de casos</t>
  </si>
  <si>
    <t>% de  avance</t>
  </si>
  <si>
    <t>Total casos que ejecuto cada integrante del equipo</t>
  </si>
  <si>
    <t>Total Casos</t>
  </si>
  <si>
    <t>SI</t>
  </si>
  <si>
    <t>No Funcional</t>
  </si>
  <si>
    <t>NO</t>
  </si>
  <si>
    <t>Código</t>
  </si>
  <si>
    <t>End to End</t>
  </si>
  <si>
    <t>Carga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</si>
</sst>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sz val="24.0"/>
      <color theme="1"/>
      <name val="Calibri"/>
    </font>
    <font/>
    <font>
      <color theme="1"/>
      <name val="Calibri"/>
      <scheme val="minor"/>
    </font>
    <font>
      <color theme="1"/>
      <name val="Arial"/>
    </font>
    <font>
      <sz val="11.0"/>
      <color rgb="FF000000"/>
      <name val="Inconsolata"/>
    </font>
    <font>
      <sz val="20.0"/>
      <color theme="1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</fills>
  <borders count="29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top/>
    </border>
    <border>
      <top/>
    </border>
    <border>
      <left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 readingOrder="0" vertical="center"/>
    </xf>
    <xf borderId="8" fillId="0" fontId="3" numFmtId="0" xfId="0" applyBorder="1" applyFont="1"/>
    <xf borderId="9" fillId="0" fontId="3" numFmtId="0" xfId="0" applyBorder="1" applyFont="1"/>
    <xf borderId="7" fillId="2" fontId="1" numFmtId="0" xfId="0" applyAlignment="1" applyBorder="1" applyFont="1">
      <alignment horizontal="left" readingOrder="0" shrinkToFit="0" vertical="top" wrapText="1"/>
    </xf>
    <xf borderId="10" fillId="2" fontId="1" numFmtId="0" xfId="0" applyBorder="1" applyFont="1"/>
    <xf borderId="11" fillId="2" fontId="1" numFmtId="0" xfId="0" applyBorder="1" applyFont="1"/>
    <xf borderId="12" fillId="2" fontId="1" numFmtId="0" xfId="0" applyBorder="1" applyFont="1"/>
    <xf quotePrefix="1" borderId="13" fillId="3" fontId="1" numFmtId="0" xfId="0" applyAlignment="1" applyBorder="1" applyFill="1" applyFont="1">
      <alignment horizontal="center"/>
    </xf>
    <xf borderId="13" fillId="3" fontId="1" numFmtId="0" xfId="0" applyAlignment="1" applyBorder="1" applyFont="1">
      <alignment horizontal="center"/>
    </xf>
    <xf borderId="14" fillId="3" fontId="1" numFmtId="0" xfId="0" applyAlignment="1" applyBorder="1" applyFont="1">
      <alignment horizontal="center"/>
    </xf>
    <xf borderId="13" fillId="3" fontId="1" numFmtId="0" xfId="0" applyBorder="1" applyFont="1"/>
    <xf borderId="14" fillId="3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0" fillId="0" fontId="1" numFmtId="0" xfId="0" applyFont="1"/>
    <xf borderId="16" fillId="4" fontId="4" numFmtId="1" xfId="0" applyAlignment="1" applyBorder="1" applyFill="1" applyFont="1" applyNumberFormat="1">
      <alignment readingOrder="0" shrinkToFit="0" vertical="center" wrapText="1"/>
    </xf>
    <xf borderId="16" fillId="4" fontId="1" numFmtId="0" xfId="0" applyAlignment="1" applyBorder="1" applyFont="1">
      <alignment shrinkToFit="0" vertical="center" wrapText="1"/>
    </xf>
    <xf borderId="16" fillId="4" fontId="1" numFmtId="0" xfId="0" applyAlignment="1" applyBorder="1" applyFont="1">
      <alignment readingOrder="0" shrinkToFit="0" vertical="center" wrapText="1"/>
    </xf>
    <xf borderId="17" fillId="4" fontId="1" numFmtId="0" xfId="0" applyAlignment="1" applyBorder="1" applyFont="1">
      <alignment readingOrder="0" shrinkToFit="0" vertical="center" wrapText="1"/>
    </xf>
    <xf borderId="16" fillId="3" fontId="1" numFmtId="0" xfId="0" applyAlignment="1" applyBorder="1" applyFont="1">
      <alignment readingOrder="0" shrinkToFit="0" vertical="center" wrapText="1"/>
    </xf>
    <xf borderId="1" fillId="3" fontId="1" numFmtId="0" xfId="0" applyBorder="1" applyFont="1"/>
    <xf borderId="16" fillId="4" fontId="5" numFmtId="0" xfId="0" applyAlignment="1" applyBorder="1" applyFont="1">
      <alignment shrinkToFit="0" vertical="center" wrapText="1"/>
    </xf>
    <xf borderId="16" fillId="4" fontId="5" numFmtId="0" xfId="0" applyAlignment="1" applyBorder="1" applyFont="1">
      <alignment readingOrder="0" shrinkToFit="0" vertical="center" wrapText="1"/>
    </xf>
    <xf borderId="16" fillId="5" fontId="5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horizontal="center"/>
    </xf>
    <xf borderId="1" fillId="3" fontId="6" numFmtId="0" xfId="0" applyBorder="1" applyFont="1"/>
    <xf borderId="13" fillId="2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vertical="center"/>
    </xf>
    <xf borderId="16" fillId="2" fontId="1" numFmtId="0" xfId="0" applyAlignment="1" applyBorder="1" applyFon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vertical="center"/>
    </xf>
    <xf borderId="21" fillId="0" fontId="3" numFmtId="0" xfId="0" applyBorder="1" applyFont="1"/>
    <xf borderId="15" fillId="2" fontId="7" numFmtId="164" xfId="0" applyAlignment="1" applyBorder="1" applyFont="1" applyNumberFormat="1">
      <alignment horizontal="center" vertical="center"/>
    </xf>
    <xf borderId="22" fillId="0" fontId="3" numFmtId="0" xfId="0" applyBorder="1" applyFont="1"/>
    <xf borderId="13" fillId="2" fontId="7" numFmtId="9" xfId="0" applyAlignment="1" applyBorder="1" applyFont="1" applyNumberForma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7" fillId="2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20" fillId="2" fontId="1" numFmtId="0" xfId="0" applyBorder="1" applyFont="1"/>
    <xf borderId="14" fillId="2" fontId="1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16" fillId="2" fontId="1" numFmtId="0" xfId="0" applyBorder="1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Control!$C$6:$C$10</c:f>
            </c:strRef>
          </c:cat>
          <c:val>
            <c:numRef>
              <c:f>Control!$D$6:$D$10</c:f>
              <c:numCache/>
            </c:numRef>
          </c:val>
        </c:ser>
        <c:axId val="1847851972"/>
        <c:axId val="1997374625"/>
      </c:barChart>
      <c:catAx>
        <c:axId val="18478519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97374625"/>
      </c:catAx>
      <c:valAx>
        <c:axId val="19973746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7851972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Control!$E$36:$E$39</c:f>
            </c:strRef>
          </c:cat>
          <c:val>
            <c:numRef>
              <c:f>Control!$F$36:$F$39</c:f>
              <c:numCache/>
            </c:numRef>
          </c:val>
        </c:ser>
        <c:ser>
          <c:idx val="1"/>
          <c:order val="1"/>
          <c:cat>
            <c:strRef>
              <c:f>Control!$E$36:$E$39</c:f>
            </c:strRef>
          </c:cat>
          <c:val>
            <c:numRef>
              <c:f>Control!$G$36:$G$39</c:f>
              <c:numCache/>
            </c:numRef>
          </c:val>
        </c:ser>
        <c:axId val="739638300"/>
        <c:axId val="263406601"/>
      </c:barChart>
      <c:catAx>
        <c:axId val="739638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63406601"/>
      </c:catAx>
      <c:valAx>
        <c:axId val="263406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39638300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3</xdr:row>
      <xdr:rowOff>28575</xdr:rowOff>
    </xdr:from>
    <xdr:ext cx="4314825" cy="2714625"/>
    <xdr:graphicFrame>
      <xdr:nvGraphicFramePr>
        <xdr:cNvPr id="33581044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762000</xdr:colOff>
      <xdr:row>19</xdr:row>
      <xdr:rowOff>171450</xdr:rowOff>
    </xdr:from>
    <xdr:ext cx="4429125" cy="2571750"/>
    <xdr:graphicFrame>
      <xdr:nvGraphicFramePr>
        <xdr:cNvPr id="195171050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.29"/>
    <col customWidth="1" min="4" max="10" width="9.43"/>
    <col customWidth="1" min="11" max="12" width="3.29"/>
    <col customWidth="1" min="13" max="25" width="10.71"/>
  </cols>
  <sheetData>
    <row r="1" ht="14.25" customHeight="1">
      <c r="A1" s="1">
        <v>1.0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4.2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4.25" customHeight="1">
      <c r="A3" s="1"/>
      <c r="B3" s="5"/>
      <c r="C3" s="2"/>
      <c r="D3" s="3"/>
      <c r="E3" s="3"/>
      <c r="F3" s="3"/>
      <c r="G3" s="3"/>
      <c r="H3" s="3"/>
      <c r="I3" s="3"/>
      <c r="J3" s="3"/>
      <c r="K3" s="4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4.25" customHeight="1">
      <c r="A4" s="1"/>
      <c r="B4" s="5"/>
      <c r="C4" s="5"/>
      <c r="D4" s="1"/>
      <c r="E4" s="1"/>
      <c r="F4" s="1"/>
      <c r="G4" s="1"/>
      <c r="H4" s="1"/>
      <c r="I4" s="1"/>
      <c r="J4" s="1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4.25" customHeight="1">
      <c r="A6" s="1"/>
      <c r="B6" s="5"/>
      <c r="C6" s="5"/>
      <c r="D6" s="1"/>
      <c r="E6" s="7" t="s">
        <v>0</v>
      </c>
      <c r="F6" s="8"/>
      <c r="G6" s="8"/>
      <c r="H6" s="8"/>
      <c r="I6" s="8"/>
      <c r="J6" s="1"/>
      <c r="K6" s="6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4.25" customHeight="1">
      <c r="A7" s="1"/>
      <c r="B7" s="5"/>
      <c r="C7" s="5"/>
      <c r="D7" s="1"/>
      <c r="E7" s="9"/>
      <c r="J7" s="1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4.25" customHeight="1">
      <c r="A8" s="1"/>
      <c r="B8" s="5"/>
      <c r="C8" s="5"/>
      <c r="D8" s="1"/>
      <c r="E8" s="9"/>
      <c r="J8" s="1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4.25" customHeight="1">
      <c r="A9" s="1"/>
      <c r="B9" s="5"/>
      <c r="C9" s="5"/>
      <c r="D9" s="1"/>
      <c r="E9" s="9"/>
      <c r="J9" s="1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4.25" customHeight="1">
      <c r="A10" s="1"/>
      <c r="B10" s="5"/>
      <c r="C10" s="5"/>
      <c r="D10" s="1"/>
      <c r="E10" s="9"/>
      <c r="J10" s="1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4.25" customHeight="1">
      <c r="A11" s="1"/>
      <c r="B11" s="5"/>
      <c r="C11" s="5"/>
      <c r="D11" s="1"/>
      <c r="E11" s="1"/>
      <c r="F11" s="1"/>
      <c r="G11" s="1"/>
      <c r="H11" s="1"/>
      <c r="I11" s="1"/>
      <c r="J11" s="1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4.25" customHeight="1">
      <c r="A12" s="1"/>
      <c r="B12" s="5"/>
      <c r="C12" s="5"/>
      <c r="D12" s="1"/>
      <c r="E12" s="1"/>
      <c r="F12" s="1"/>
      <c r="G12" s="1"/>
      <c r="H12" s="1"/>
      <c r="I12" s="1"/>
      <c r="J12" s="1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4.25" customHeight="1">
      <c r="A13" s="1"/>
      <c r="B13" s="5"/>
      <c r="C13" s="5"/>
      <c r="D13" s="1"/>
      <c r="E13" s="1"/>
      <c r="F13" s="1"/>
      <c r="G13" s="1"/>
      <c r="H13" s="1"/>
      <c r="I13" s="1"/>
      <c r="J13" s="1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4.25" customHeight="1">
      <c r="A14" s="1"/>
      <c r="B14" s="5"/>
      <c r="C14" s="5"/>
      <c r="D14" s="1"/>
      <c r="E14" s="1"/>
      <c r="F14" s="1"/>
      <c r="G14" s="1"/>
      <c r="H14" s="1"/>
      <c r="I14" s="1"/>
      <c r="J14" s="1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4.25" customHeight="1">
      <c r="A15" s="1"/>
      <c r="B15" s="5"/>
      <c r="C15" s="5"/>
      <c r="D15" s="1"/>
      <c r="E15" s="1"/>
      <c r="F15" s="1"/>
      <c r="G15" s="1"/>
      <c r="H15" s="1"/>
      <c r="I15" s="1"/>
      <c r="J15" s="1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4.25" customHeight="1">
      <c r="A16" s="1"/>
      <c r="B16" s="5"/>
      <c r="C16" s="5"/>
      <c r="D16" s="1"/>
      <c r="E16" s="1"/>
      <c r="F16" s="1"/>
      <c r="G16" s="1"/>
      <c r="H16" s="1"/>
      <c r="I16" s="1"/>
      <c r="J16" s="1"/>
      <c r="K16" s="6"/>
      <c r="L16" s="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4.25" customHeight="1">
      <c r="A17" s="1"/>
      <c r="B17" s="5"/>
      <c r="C17" s="5"/>
      <c r="D17" s="1"/>
      <c r="E17" s="1"/>
      <c r="F17" s="1"/>
      <c r="G17" s="1"/>
      <c r="H17" s="1"/>
      <c r="I17" s="1"/>
      <c r="J17" s="1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4.25" customHeight="1">
      <c r="A18" s="1"/>
      <c r="B18" s="5"/>
      <c r="C18" s="5"/>
      <c r="D18" s="1"/>
      <c r="E18" s="1"/>
      <c r="F18" s="1"/>
      <c r="G18" s="1"/>
      <c r="H18" s="1"/>
      <c r="I18" s="1"/>
      <c r="J18" s="1"/>
      <c r="K18" s="6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4.25" customHeight="1">
      <c r="A19" s="1"/>
      <c r="B19" s="5"/>
      <c r="C19" s="5"/>
      <c r="D19" s="1"/>
      <c r="E19" s="1"/>
      <c r="F19" s="1"/>
      <c r="G19" s="1"/>
      <c r="H19" s="1"/>
      <c r="I19" s="1"/>
      <c r="J19" s="1"/>
      <c r="K19" s="6"/>
      <c r="L19" s="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4.25" customHeight="1">
      <c r="A20" s="1"/>
      <c r="B20" s="5"/>
      <c r="C20" s="5"/>
      <c r="D20" s="1"/>
      <c r="E20" s="1"/>
      <c r="F20" s="1"/>
      <c r="G20" s="1"/>
      <c r="H20" s="1"/>
      <c r="I20" s="1"/>
      <c r="J20" s="1"/>
      <c r="K20" s="6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4.25" customHeight="1">
      <c r="A21" s="1"/>
      <c r="B21" s="5"/>
      <c r="C21" s="5"/>
      <c r="D21" s="1"/>
      <c r="E21" s="1"/>
      <c r="F21" s="1"/>
      <c r="G21" s="1"/>
      <c r="H21" s="1"/>
      <c r="I21" s="1"/>
      <c r="J21" s="1"/>
      <c r="K21" s="6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4.25" customHeight="1">
      <c r="A22" s="1"/>
      <c r="B22" s="5"/>
      <c r="C22" s="5"/>
      <c r="D22" s="1"/>
      <c r="E22" s="1"/>
      <c r="F22" s="1"/>
      <c r="G22" s="1"/>
      <c r="H22" s="1"/>
      <c r="I22" s="1"/>
      <c r="J22" s="1"/>
      <c r="K22" s="6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4.25" customHeight="1">
      <c r="A23" s="1"/>
      <c r="B23" s="5"/>
      <c r="C23" s="5"/>
      <c r="D23" s="1"/>
      <c r="E23" s="1"/>
      <c r="F23" s="1"/>
      <c r="G23" s="1"/>
      <c r="H23" s="1"/>
      <c r="I23" s="1"/>
      <c r="J23" s="1"/>
      <c r="K23" s="6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4.25" customHeight="1">
      <c r="A24" s="1"/>
      <c r="B24" s="5"/>
      <c r="C24" s="5"/>
      <c r="D24" s="1"/>
      <c r="E24" s="1"/>
      <c r="F24" s="1"/>
      <c r="G24" s="1"/>
      <c r="H24" s="1"/>
      <c r="I24" s="1"/>
      <c r="J24" s="1"/>
      <c r="K24" s="6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4.25" customHeight="1">
      <c r="A25" s="1"/>
      <c r="B25" s="5"/>
      <c r="C25" s="5"/>
      <c r="D25" s="1"/>
      <c r="E25" s="1"/>
      <c r="F25" s="1"/>
      <c r="G25" s="1"/>
      <c r="H25" s="1"/>
      <c r="I25" s="1"/>
      <c r="J25" s="1"/>
      <c r="K25" s="6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4.25" customHeight="1">
      <c r="A26" s="1"/>
      <c r="B26" s="5"/>
      <c r="C26" s="5"/>
      <c r="D26" s="1"/>
      <c r="E26" s="1"/>
      <c r="F26" s="1"/>
      <c r="G26" s="1"/>
      <c r="H26" s="1"/>
      <c r="I26" s="1"/>
      <c r="J26" s="1"/>
      <c r="K26" s="6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4.25" customHeight="1">
      <c r="A27" s="1"/>
      <c r="B27" s="5"/>
      <c r="C27" s="5"/>
      <c r="D27" s="1"/>
      <c r="E27" s="1"/>
      <c r="F27" s="1"/>
      <c r="G27" s="1"/>
      <c r="H27" s="1"/>
      <c r="I27" s="1"/>
      <c r="J27" s="1"/>
      <c r="K27" s="6"/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4.25" customHeight="1">
      <c r="A28" s="1"/>
      <c r="B28" s="5"/>
      <c r="C28" s="5"/>
      <c r="D28" s="1"/>
      <c r="E28" s="1"/>
      <c r="F28" s="1"/>
      <c r="G28" s="1"/>
      <c r="H28" s="1"/>
      <c r="I28" s="1"/>
      <c r="J28" s="1"/>
      <c r="K28" s="6"/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4.25" customHeight="1">
      <c r="A29" s="1"/>
      <c r="B29" s="5"/>
      <c r="C29" s="5"/>
      <c r="D29" s="1"/>
      <c r="E29" s="1"/>
      <c r="F29" s="1"/>
      <c r="G29" s="1"/>
      <c r="H29" s="1"/>
      <c r="I29" s="1"/>
      <c r="J29" s="1"/>
      <c r="K29" s="6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4.25" customHeight="1">
      <c r="A30" s="1"/>
      <c r="B30" s="5"/>
      <c r="C30" s="5"/>
      <c r="D30" s="1"/>
      <c r="E30" s="1"/>
      <c r="F30" s="1"/>
      <c r="G30" s="1"/>
      <c r="H30" s="1"/>
      <c r="I30" s="1"/>
      <c r="J30" s="1"/>
      <c r="K30" s="6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4.25" customHeight="1">
      <c r="A31" s="1"/>
      <c r="B31" s="5"/>
      <c r="C31" s="5"/>
      <c r="D31" s="1"/>
      <c r="E31" s="1"/>
      <c r="F31" s="1"/>
      <c r="G31" s="1"/>
      <c r="H31" s="1"/>
      <c r="I31" s="1"/>
      <c r="J31" s="1"/>
      <c r="K31" s="6"/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4.25" customHeight="1">
      <c r="A32" s="1"/>
      <c r="B32" s="5"/>
      <c r="C32" s="5"/>
      <c r="D32" s="1"/>
      <c r="E32" s="1"/>
      <c r="F32" s="1"/>
      <c r="G32" s="1"/>
      <c r="H32" s="1"/>
      <c r="I32" s="1"/>
      <c r="J32" s="1"/>
      <c r="K32" s="6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4.25" customHeight="1">
      <c r="A33" s="1"/>
      <c r="B33" s="5"/>
      <c r="C33" s="5"/>
      <c r="D33" s="1"/>
      <c r="E33" s="1"/>
      <c r="F33" s="1"/>
      <c r="G33" s="1"/>
      <c r="H33" s="1"/>
      <c r="I33" s="1"/>
      <c r="J33" s="1"/>
      <c r="K33" s="6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4.25" customHeight="1">
      <c r="A34" s="1"/>
      <c r="B34" s="5"/>
      <c r="C34" s="5"/>
      <c r="D34" s="1"/>
      <c r="E34" s="1"/>
      <c r="F34" s="1"/>
      <c r="G34" s="1"/>
      <c r="H34" s="1"/>
      <c r="I34" s="1"/>
      <c r="J34" s="1"/>
      <c r="K34" s="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6.5" customHeight="1">
      <c r="A35" s="1"/>
      <c r="B35" s="5"/>
      <c r="C35" s="5"/>
      <c r="D35" s="1"/>
      <c r="E35" s="10" t="s">
        <v>1</v>
      </c>
      <c r="F35" s="8"/>
      <c r="G35" s="8"/>
      <c r="H35" s="8"/>
      <c r="I35" s="8"/>
      <c r="J35" s="1"/>
      <c r="K35" s="6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6.5" customHeight="1">
      <c r="A36" s="1"/>
      <c r="B36" s="5"/>
      <c r="C36" s="5"/>
      <c r="D36" s="1"/>
      <c r="E36" s="9"/>
      <c r="J36" s="1"/>
      <c r="K36" s="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6.5" customHeight="1">
      <c r="A37" s="1"/>
      <c r="B37" s="5"/>
      <c r="C37" s="5"/>
      <c r="D37" s="1"/>
      <c r="E37" s="9"/>
      <c r="J37" s="1"/>
      <c r="K37" s="6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6.5" customHeight="1">
      <c r="A38" s="1"/>
      <c r="B38" s="5"/>
      <c r="C38" s="5"/>
      <c r="D38" s="1"/>
      <c r="E38" s="9"/>
      <c r="J38" s="1"/>
      <c r="K38" s="6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6.5" customHeight="1">
      <c r="A39" s="1"/>
      <c r="B39" s="5"/>
      <c r="C39" s="5"/>
      <c r="D39" s="1"/>
      <c r="E39" s="9"/>
      <c r="J39" s="1"/>
      <c r="K39" s="6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6.5" customHeight="1">
      <c r="A40" s="1"/>
      <c r="B40" s="5"/>
      <c r="C40" s="5"/>
      <c r="D40" s="1"/>
      <c r="E40" s="1"/>
      <c r="F40" s="1"/>
      <c r="G40" s="1"/>
      <c r="H40" s="1"/>
      <c r="I40" s="1"/>
      <c r="J40" s="1"/>
      <c r="K40" s="6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4.25" customHeight="1">
      <c r="A41" s="1"/>
      <c r="B41" s="5"/>
      <c r="C41" s="5"/>
      <c r="D41" s="1"/>
      <c r="E41" s="1"/>
      <c r="F41" s="1"/>
      <c r="G41" s="1"/>
      <c r="H41" s="1"/>
      <c r="I41" s="1"/>
      <c r="J41" s="1"/>
      <c r="K41" s="6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4.25" customHeight="1">
      <c r="A42" s="1"/>
      <c r="B42" s="5"/>
      <c r="C42" s="5"/>
      <c r="D42" s="1"/>
      <c r="E42" s="1"/>
      <c r="F42" s="1"/>
      <c r="G42" s="1"/>
      <c r="H42" s="1"/>
      <c r="I42" s="1"/>
      <c r="J42" s="1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4.25" customHeight="1">
      <c r="A43" s="1"/>
      <c r="B43" s="5"/>
      <c r="C43" s="11"/>
      <c r="D43" s="12"/>
      <c r="E43" s="12"/>
      <c r="F43" s="12"/>
      <c r="G43" s="12"/>
      <c r="H43" s="12"/>
      <c r="I43" s="12"/>
      <c r="J43" s="12"/>
      <c r="K43" s="13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4.25" customHeight="1">
      <c r="A44" s="1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6:I10"/>
    <mergeCell ref="E35:I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2" width="53.29"/>
    <col customWidth="1" min="3" max="3" width="16.0"/>
    <col customWidth="1" min="4" max="4" width="72.14"/>
    <col customWidth="1" min="5" max="5" width="76.57"/>
    <col customWidth="1" min="6" max="6" width="21.43"/>
    <col customWidth="1" min="7" max="7" width="18.29"/>
    <col customWidth="1" min="8" max="8" width="21.86"/>
    <col customWidth="1" min="9" max="9" width="13.43"/>
  </cols>
  <sheetData>
    <row r="1" ht="14.25" customHeight="1">
      <c r="A1" s="14" t="s">
        <v>2</v>
      </c>
      <c r="B1" s="15" t="s">
        <v>3</v>
      </c>
      <c r="C1" s="16" t="s">
        <v>4</v>
      </c>
      <c r="D1" s="15" t="s">
        <v>5</v>
      </c>
      <c r="E1" s="15" t="s">
        <v>6</v>
      </c>
      <c r="F1" s="17" t="s">
        <v>7</v>
      </c>
      <c r="G1" s="18" t="s">
        <v>8</v>
      </c>
      <c r="H1" s="19" t="s">
        <v>9</v>
      </c>
      <c r="I1" s="20" t="s">
        <v>10</v>
      </c>
      <c r="J1" s="21"/>
    </row>
    <row r="2" ht="14.25" customHeight="1">
      <c r="A2" s="22" t="s">
        <v>11</v>
      </c>
      <c r="B2" s="23" t="s">
        <v>12</v>
      </c>
      <c r="C2" s="24" t="s">
        <v>13</v>
      </c>
      <c r="D2" s="23" t="s">
        <v>14</v>
      </c>
      <c r="E2" s="24" t="s">
        <v>15</v>
      </c>
      <c r="F2" s="23" t="s">
        <v>16</v>
      </c>
      <c r="G2" s="24" t="s">
        <v>17</v>
      </c>
      <c r="H2" s="25" t="s">
        <v>18</v>
      </c>
      <c r="I2" s="26" t="s">
        <v>19</v>
      </c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ht="14.25" customHeight="1">
      <c r="A3" s="22" t="s">
        <v>20</v>
      </c>
      <c r="B3" s="23" t="s">
        <v>21</v>
      </c>
      <c r="C3" s="24" t="s">
        <v>13</v>
      </c>
      <c r="D3" s="23" t="s">
        <v>22</v>
      </c>
      <c r="E3" s="24" t="s">
        <v>23</v>
      </c>
      <c r="F3" s="23" t="s">
        <v>16</v>
      </c>
      <c r="G3" s="24" t="s">
        <v>17</v>
      </c>
      <c r="H3" s="25" t="s">
        <v>18</v>
      </c>
      <c r="I3" s="26" t="s">
        <v>19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</row>
    <row r="4" ht="14.25" customHeight="1">
      <c r="A4" s="22" t="s">
        <v>24</v>
      </c>
      <c r="B4" s="24" t="s">
        <v>25</v>
      </c>
      <c r="C4" s="24" t="s">
        <v>26</v>
      </c>
      <c r="D4" s="23" t="s">
        <v>27</v>
      </c>
      <c r="E4" s="24" t="s">
        <v>28</v>
      </c>
      <c r="F4" s="23" t="s">
        <v>29</v>
      </c>
      <c r="G4" s="24" t="s">
        <v>17</v>
      </c>
      <c r="H4" s="25" t="s">
        <v>30</v>
      </c>
      <c r="I4" s="26" t="s">
        <v>31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 ht="14.25" customHeight="1">
      <c r="A5" s="22" t="s">
        <v>32</v>
      </c>
      <c r="B5" s="23" t="s">
        <v>33</v>
      </c>
      <c r="C5" s="24" t="s">
        <v>13</v>
      </c>
      <c r="D5" s="23" t="s">
        <v>34</v>
      </c>
      <c r="E5" s="24" t="s">
        <v>35</v>
      </c>
      <c r="F5" s="23" t="s">
        <v>36</v>
      </c>
      <c r="G5" s="24" t="s">
        <v>17</v>
      </c>
      <c r="H5" s="25" t="s">
        <v>37</v>
      </c>
      <c r="I5" s="26" t="s">
        <v>19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</row>
    <row r="6" ht="14.25" customHeight="1">
      <c r="A6" s="22" t="s">
        <v>38</v>
      </c>
      <c r="B6" s="23" t="s">
        <v>39</v>
      </c>
      <c r="C6" s="24" t="s">
        <v>13</v>
      </c>
      <c r="D6" s="23" t="s">
        <v>40</v>
      </c>
      <c r="E6" s="24" t="s">
        <v>41</v>
      </c>
      <c r="F6" s="23" t="s">
        <v>36</v>
      </c>
      <c r="G6" s="24" t="s">
        <v>17</v>
      </c>
      <c r="H6" s="25" t="s">
        <v>30</v>
      </c>
      <c r="I6" s="26" t="s">
        <v>19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ht="14.25" customHeight="1">
      <c r="A7" s="22" t="s">
        <v>42</v>
      </c>
      <c r="B7" s="23" t="s">
        <v>43</v>
      </c>
      <c r="C7" s="24" t="s">
        <v>13</v>
      </c>
      <c r="D7" s="23" t="s">
        <v>44</v>
      </c>
      <c r="E7" s="24" t="s">
        <v>45</v>
      </c>
      <c r="F7" s="23" t="s">
        <v>36</v>
      </c>
      <c r="G7" s="24" t="s">
        <v>17</v>
      </c>
      <c r="H7" s="25" t="s">
        <v>18</v>
      </c>
      <c r="I7" s="26" t="s">
        <v>19</v>
      </c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</row>
    <row r="8" ht="14.25" customHeight="1">
      <c r="A8" s="22" t="s">
        <v>46</v>
      </c>
      <c r="B8" s="24" t="s">
        <v>47</v>
      </c>
      <c r="C8" s="24" t="s">
        <v>13</v>
      </c>
      <c r="D8" s="23" t="s">
        <v>48</v>
      </c>
      <c r="E8" s="24" t="s">
        <v>49</v>
      </c>
      <c r="F8" s="23" t="s">
        <v>50</v>
      </c>
      <c r="G8" s="24" t="s">
        <v>17</v>
      </c>
      <c r="H8" s="25" t="s">
        <v>30</v>
      </c>
      <c r="I8" s="26" t="s">
        <v>31</v>
      </c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ht="14.25" customHeight="1">
      <c r="A9" s="22" t="s">
        <v>51</v>
      </c>
      <c r="B9" s="23" t="s">
        <v>52</v>
      </c>
      <c r="C9" s="24" t="s">
        <v>13</v>
      </c>
      <c r="D9" s="23" t="s">
        <v>53</v>
      </c>
      <c r="E9" s="24" t="s">
        <v>54</v>
      </c>
      <c r="F9" s="23" t="s">
        <v>55</v>
      </c>
      <c r="G9" s="24" t="s">
        <v>17</v>
      </c>
      <c r="H9" s="25" t="s">
        <v>30</v>
      </c>
      <c r="I9" s="26" t="s">
        <v>19</v>
      </c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 ht="14.25" customHeight="1">
      <c r="A10" s="22" t="s">
        <v>56</v>
      </c>
      <c r="B10" s="24" t="s">
        <v>57</v>
      </c>
      <c r="C10" s="24" t="s">
        <v>13</v>
      </c>
      <c r="D10" s="24" t="s">
        <v>58</v>
      </c>
      <c r="E10" s="24" t="s">
        <v>59</v>
      </c>
      <c r="F10" s="23" t="s">
        <v>60</v>
      </c>
      <c r="G10" s="24" t="s">
        <v>17</v>
      </c>
      <c r="H10" s="25" t="s">
        <v>37</v>
      </c>
      <c r="I10" s="26" t="s">
        <v>31</v>
      </c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ht="15.75" customHeight="1">
      <c r="A11" s="22" t="s">
        <v>61</v>
      </c>
      <c r="B11" s="23" t="s">
        <v>62</v>
      </c>
      <c r="C11" s="24" t="s">
        <v>13</v>
      </c>
      <c r="D11" s="23" t="s">
        <v>63</v>
      </c>
      <c r="E11" s="24" t="s">
        <v>64</v>
      </c>
      <c r="F11" s="23" t="s">
        <v>65</v>
      </c>
      <c r="G11" s="24" t="s">
        <v>66</v>
      </c>
      <c r="H11" s="25" t="s">
        <v>64</v>
      </c>
      <c r="I11" s="26" t="s">
        <v>19</v>
      </c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 ht="13.5" customHeight="1">
      <c r="A12" s="22" t="s">
        <v>67</v>
      </c>
      <c r="B12" s="23" t="s">
        <v>68</v>
      </c>
      <c r="C12" s="24" t="s">
        <v>13</v>
      </c>
      <c r="D12" s="23" t="s">
        <v>69</v>
      </c>
      <c r="E12" s="24" t="s">
        <v>64</v>
      </c>
      <c r="F12" s="23" t="s">
        <v>65</v>
      </c>
      <c r="G12" s="24" t="s">
        <v>66</v>
      </c>
      <c r="H12" s="25" t="s">
        <v>64</v>
      </c>
      <c r="I12" s="26" t="s">
        <v>19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 ht="14.25" customHeight="1">
      <c r="A13" s="22" t="s">
        <v>70</v>
      </c>
      <c r="B13" s="23" t="s">
        <v>71</v>
      </c>
      <c r="C13" s="24" t="s">
        <v>13</v>
      </c>
      <c r="D13" s="23" t="s">
        <v>72</v>
      </c>
      <c r="E13" s="24" t="s">
        <v>64</v>
      </c>
      <c r="F13" s="23" t="s">
        <v>65</v>
      </c>
      <c r="G13" s="24" t="s">
        <v>66</v>
      </c>
      <c r="H13" s="25" t="s">
        <v>64</v>
      </c>
      <c r="I13" s="26" t="s">
        <v>19</v>
      </c>
    </row>
    <row r="14" ht="14.25" customHeight="1">
      <c r="A14" s="22" t="s">
        <v>73</v>
      </c>
      <c r="B14" s="23" t="s">
        <v>74</v>
      </c>
      <c r="C14" s="24" t="s">
        <v>75</v>
      </c>
      <c r="D14" s="23" t="s">
        <v>76</v>
      </c>
      <c r="E14" s="24" t="s">
        <v>64</v>
      </c>
      <c r="F14" s="23" t="s">
        <v>77</v>
      </c>
      <c r="G14" s="24" t="s">
        <v>66</v>
      </c>
      <c r="H14" s="25" t="s">
        <v>64</v>
      </c>
      <c r="I14" s="26" t="s">
        <v>31</v>
      </c>
    </row>
    <row r="15" ht="14.25" customHeight="1">
      <c r="A15" s="22" t="s">
        <v>78</v>
      </c>
      <c r="B15" s="23" t="s">
        <v>79</v>
      </c>
      <c r="C15" s="24" t="s">
        <v>13</v>
      </c>
      <c r="D15" s="23" t="s">
        <v>80</v>
      </c>
      <c r="E15" s="24" t="s">
        <v>64</v>
      </c>
      <c r="F15" s="23" t="s">
        <v>81</v>
      </c>
      <c r="G15" s="24" t="s">
        <v>66</v>
      </c>
      <c r="H15" s="25" t="s">
        <v>64</v>
      </c>
      <c r="I15" s="26" t="s">
        <v>31</v>
      </c>
    </row>
    <row r="16" ht="14.25" customHeight="1">
      <c r="A16" s="22" t="s">
        <v>82</v>
      </c>
      <c r="B16" s="23" t="s">
        <v>83</v>
      </c>
      <c r="C16" s="24" t="s">
        <v>75</v>
      </c>
      <c r="D16" s="24" t="s">
        <v>84</v>
      </c>
      <c r="E16" s="24" t="s">
        <v>85</v>
      </c>
      <c r="F16" s="23" t="s">
        <v>86</v>
      </c>
      <c r="G16" s="24" t="s">
        <v>17</v>
      </c>
      <c r="H16" s="25" t="s">
        <v>30</v>
      </c>
      <c r="I16" s="26" t="s">
        <v>31</v>
      </c>
    </row>
    <row r="17" ht="14.25" customHeight="1">
      <c r="A17" s="22" t="s">
        <v>87</v>
      </c>
      <c r="B17" s="23" t="s">
        <v>88</v>
      </c>
      <c r="C17" s="24" t="s">
        <v>75</v>
      </c>
      <c r="D17" s="23" t="s">
        <v>89</v>
      </c>
      <c r="E17" s="24" t="s">
        <v>64</v>
      </c>
      <c r="F17" s="23" t="s">
        <v>90</v>
      </c>
      <c r="G17" s="24" t="s">
        <v>91</v>
      </c>
      <c r="H17" s="25" t="s">
        <v>64</v>
      </c>
      <c r="I17" s="26" t="s">
        <v>31</v>
      </c>
    </row>
    <row r="18" ht="14.25" customHeight="1">
      <c r="A18" s="22" t="s">
        <v>92</v>
      </c>
      <c r="B18" s="23" t="s">
        <v>93</v>
      </c>
      <c r="C18" s="24" t="s">
        <v>75</v>
      </c>
      <c r="D18" s="23" t="s">
        <v>94</v>
      </c>
      <c r="E18" s="24" t="s">
        <v>64</v>
      </c>
      <c r="F18" s="23" t="s">
        <v>90</v>
      </c>
      <c r="G18" s="24" t="s">
        <v>91</v>
      </c>
      <c r="H18" s="25" t="s">
        <v>64</v>
      </c>
      <c r="I18" s="26" t="s">
        <v>31</v>
      </c>
    </row>
    <row r="19" ht="14.25" customHeight="1">
      <c r="A19" s="22" t="s">
        <v>95</v>
      </c>
      <c r="B19" s="23" t="s">
        <v>96</v>
      </c>
      <c r="C19" s="24" t="s">
        <v>75</v>
      </c>
      <c r="D19" s="24" t="s">
        <v>97</v>
      </c>
      <c r="E19" s="24" t="s">
        <v>98</v>
      </c>
      <c r="F19" s="23" t="s">
        <v>99</v>
      </c>
      <c r="G19" s="24" t="s">
        <v>17</v>
      </c>
      <c r="H19" s="25" t="s">
        <v>18</v>
      </c>
      <c r="I19" s="26" t="s">
        <v>31</v>
      </c>
    </row>
    <row r="20" ht="14.25" customHeight="1">
      <c r="A20" s="22" t="s">
        <v>100</v>
      </c>
      <c r="B20" s="23" t="s">
        <v>101</v>
      </c>
      <c r="C20" s="24" t="s">
        <v>26</v>
      </c>
      <c r="D20" s="23" t="s">
        <v>102</v>
      </c>
      <c r="E20" s="24" t="s">
        <v>103</v>
      </c>
      <c r="F20" s="23" t="s">
        <v>104</v>
      </c>
      <c r="G20" s="24" t="s">
        <v>17</v>
      </c>
      <c r="H20" s="25" t="s">
        <v>37</v>
      </c>
      <c r="I20" s="26" t="s">
        <v>31</v>
      </c>
    </row>
    <row r="21" ht="14.25" customHeight="1">
      <c r="A21" s="22" t="s">
        <v>105</v>
      </c>
      <c r="B21" s="24" t="s">
        <v>106</v>
      </c>
      <c r="C21" s="24" t="s">
        <v>13</v>
      </c>
      <c r="D21" s="23" t="s">
        <v>107</v>
      </c>
      <c r="E21" s="24" t="s">
        <v>108</v>
      </c>
      <c r="F21" s="23" t="s">
        <v>109</v>
      </c>
      <c r="G21" s="24" t="s">
        <v>17</v>
      </c>
      <c r="H21" s="25" t="s">
        <v>30</v>
      </c>
      <c r="I21" s="26" t="s">
        <v>110</v>
      </c>
    </row>
    <row r="22" ht="14.25" customHeight="1">
      <c r="A22" s="22" t="s">
        <v>111</v>
      </c>
      <c r="B22" s="23" t="s">
        <v>112</v>
      </c>
      <c r="C22" s="24" t="s">
        <v>13</v>
      </c>
      <c r="D22" s="23" t="s">
        <v>113</v>
      </c>
      <c r="E22" s="24" t="s">
        <v>114</v>
      </c>
      <c r="F22" s="23" t="s">
        <v>115</v>
      </c>
      <c r="G22" s="24" t="s">
        <v>17</v>
      </c>
      <c r="H22" s="25" t="s">
        <v>18</v>
      </c>
      <c r="I22" s="26" t="s">
        <v>19</v>
      </c>
    </row>
    <row r="23" ht="14.25" customHeight="1">
      <c r="A23" s="22" t="s">
        <v>116</v>
      </c>
      <c r="B23" s="24" t="s">
        <v>117</v>
      </c>
      <c r="C23" s="24" t="s">
        <v>13</v>
      </c>
      <c r="D23" s="24" t="s">
        <v>118</v>
      </c>
      <c r="E23" s="24" t="s">
        <v>119</v>
      </c>
      <c r="F23" s="23" t="s">
        <v>120</v>
      </c>
      <c r="G23" s="24" t="s">
        <v>17</v>
      </c>
      <c r="H23" s="25" t="s">
        <v>18</v>
      </c>
      <c r="I23" s="26" t="s">
        <v>31</v>
      </c>
    </row>
    <row r="24" ht="14.25" customHeight="1">
      <c r="A24" s="22" t="s">
        <v>121</v>
      </c>
      <c r="B24" s="23" t="s">
        <v>122</v>
      </c>
      <c r="C24" s="24" t="s">
        <v>13</v>
      </c>
      <c r="D24" s="23" t="s">
        <v>123</v>
      </c>
      <c r="E24" s="24" t="s">
        <v>124</v>
      </c>
      <c r="F24" s="23" t="s">
        <v>125</v>
      </c>
      <c r="G24" s="24" t="s">
        <v>17</v>
      </c>
      <c r="H24" s="25" t="s">
        <v>30</v>
      </c>
      <c r="I24" s="26" t="s">
        <v>31</v>
      </c>
    </row>
    <row r="25" ht="14.25" customHeight="1">
      <c r="A25" s="22" t="s">
        <v>126</v>
      </c>
      <c r="B25" s="24" t="s">
        <v>127</v>
      </c>
      <c r="C25" s="24" t="s">
        <v>75</v>
      </c>
      <c r="D25" s="23" t="s">
        <v>128</v>
      </c>
      <c r="E25" s="24" t="s">
        <v>129</v>
      </c>
      <c r="F25" s="23" t="s">
        <v>77</v>
      </c>
      <c r="G25" s="24" t="s">
        <v>130</v>
      </c>
      <c r="H25" s="25" t="s">
        <v>37</v>
      </c>
      <c r="I25" s="26" t="s">
        <v>110</v>
      </c>
    </row>
    <row r="26" ht="14.25" customHeight="1">
      <c r="A26" s="22" t="s">
        <v>131</v>
      </c>
      <c r="B26" s="23" t="s">
        <v>132</v>
      </c>
      <c r="C26" s="24" t="s">
        <v>26</v>
      </c>
      <c r="D26" s="23" t="s">
        <v>133</v>
      </c>
      <c r="E26" s="24" t="s">
        <v>134</v>
      </c>
      <c r="F26" s="23" t="s">
        <v>135</v>
      </c>
      <c r="G26" s="24" t="s">
        <v>17</v>
      </c>
      <c r="H26" s="25" t="s">
        <v>18</v>
      </c>
      <c r="I26" s="26" t="s">
        <v>19</v>
      </c>
    </row>
    <row r="27" ht="14.25" customHeight="1">
      <c r="A27" s="22" t="s">
        <v>136</v>
      </c>
      <c r="B27" s="23" t="s">
        <v>137</v>
      </c>
      <c r="C27" s="24" t="s">
        <v>26</v>
      </c>
      <c r="D27" s="23" t="s">
        <v>138</v>
      </c>
      <c r="E27" s="24" t="s">
        <v>139</v>
      </c>
      <c r="F27" s="23" t="s">
        <v>140</v>
      </c>
      <c r="G27" s="24" t="s">
        <v>17</v>
      </c>
      <c r="H27" s="25" t="s">
        <v>18</v>
      </c>
      <c r="I27" s="26" t="s">
        <v>19</v>
      </c>
    </row>
    <row r="28" ht="14.25" customHeight="1">
      <c r="A28" s="22" t="s">
        <v>141</v>
      </c>
      <c r="B28" s="23" t="s">
        <v>142</v>
      </c>
      <c r="C28" s="24" t="s">
        <v>13</v>
      </c>
      <c r="D28" s="23" t="s">
        <v>143</v>
      </c>
      <c r="E28" s="24" t="s">
        <v>144</v>
      </c>
      <c r="F28" s="23" t="s">
        <v>140</v>
      </c>
      <c r="G28" s="24" t="s">
        <v>17</v>
      </c>
      <c r="H28" s="25" t="s">
        <v>37</v>
      </c>
      <c r="I28" s="26" t="s">
        <v>19</v>
      </c>
    </row>
    <row r="29" ht="14.25" customHeight="1">
      <c r="A29" s="22" t="s">
        <v>145</v>
      </c>
      <c r="B29" s="23" t="s">
        <v>146</v>
      </c>
      <c r="C29" s="24" t="s">
        <v>13</v>
      </c>
      <c r="D29" s="23" t="s">
        <v>147</v>
      </c>
      <c r="E29" s="24" t="s">
        <v>148</v>
      </c>
      <c r="F29" s="23" t="s">
        <v>36</v>
      </c>
      <c r="G29" s="24" t="s">
        <v>17</v>
      </c>
      <c r="H29" s="25" t="s">
        <v>18</v>
      </c>
      <c r="I29" s="26" t="s">
        <v>19</v>
      </c>
    </row>
    <row r="30" ht="14.25" customHeight="1">
      <c r="A30" s="22" t="s">
        <v>149</v>
      </c>
      <c r="B30" s="23" t="s">
        <v>150</v>
      </c>
      <c r="C30" s="24" t="s">
        <v>151</v>
      </c>
      <c r="D30" s="23" t="s">
        <v>152</v>
      </c>
      <c r="E30" s="24" t="s">
        <v>153</v>
      </c>
      <c r="F30" s="23" t="s">
        <v>154</v>
      </c>
      <c r="G30" s="24" t="s">
        <v>17</v>
      </c>
      <c r="H30" s="25" t="s">
        <v>30</v>
      </c>
      <c r="I30" s="26" t="s">
        <v>31</v>
      </c>
    </row>
    <row r="31" ht="14.25" customHeight="1">
      <c r="A31" s="22" t="s">
        <v>155</v>
      </c>
      <c r="B31" s="23" t="s">
        <v>156</v>
      </c>
      <c r="C31" s="24" t="s">
        <v>151</v>
      </c>
      <c r="D31" s="23" t="s">
        <v>157</v>
      </c>
      <c r="E31" s="24" t="s">
        <v>153</v>
      </c>
      <c r="F31" s="23" t="s">
        <v>158</v>
      </c>
      <c r="G31" s="24" t="s">
        <v>17</v>
      </c>
      <c r="H31" s="25" t="s">
        <v>18</v>
      </c>
      <c r="I31" s="26" t="s">
        <v>31</v>
      </c>
    </row>
    <row r="32" ht="14.25" customHeight="1">
      <c r="A32" s="28" t="s">
        <v>159</v>
      </c>
      <c r="B32" s="28" t="s">
        <v>160</v>
      </c>
      <c r="C32" s="28" t="s">
        <v>13</v>
      </c>
      <c r="D32" s="28" t="s">
        <v>161</v>
      </c>
      <c r="E32" s="29" t="s">
        <v>162</v>
      </c>
      <c r="F32" s="28" t="s">
        <v>163</v>
      </c>
      <c r="G32" s="24" t="s">
        <v>17</v>
      </c>
      <c r="H32" s="25" t="s">
        <v>30</v>
      </c>
      <c r="I32" s="26" t="s">
        <v>31</v>
      </c>
    </row>
    <row r="33" ht="14.25" customHeight="1">
      <c r="A33" s="28" t="s">
        <v>164</v>
      </c>
      <c r="B33" s="28" t="s">
        <v>165</v>
      </c>
      <c r="C33" s="28" t="s">
        <v>166</v>
      </c>
      <c r="D33" s="28" t="s">
        <v>167</v>
      </c>
      <c r="E33" s="29" t="s">
        <v>168</v>
      </c>
      <c r="F33" s="28" t="s">
        <v>163</v>
      </c>
      <c r="G33" s="24" t="s">
        <v>66</v>
      </c>
      <c r="H33" s="25" t="s">
        <v>64</v>
      </c>
      <c r="I33" s="26"/>
    </row>
    <row r="34" ht="14.25" customHeight="1">
      <c r="A34" s="28" t="s">
        <v>169</v>
      </c>
      <c r="B34" s="28" t="s">
        <v>170</v>
      </c>
      <c r="C34" s="28" t="s">
        <v>166</v>
      </c>
      <c r="D34" s="28" t="s">
        <v>171</v>
      </c>
      <c r="E34" s="29" t="s">
        <v>168</v>
      </c>
      <c r="F34" s="28" t="s">
        <v>163</v>
      </c>
      <c r="G34" s="24" t="s">
        <v>66</v>
      </c>
      <c r="H34" s="25" t="s">
        <v>64</v>
      </c>
      <c r="I34" s="26"/>
    </row>
    <row r="35" ht="14.25" customHeight="1">
      <c r="A35" s="28" t="s">
        <v>172</v>
      </c>
      <c r="B35" s="28" t="s">
        <v>173</v>
      </c>
      <c r="C35" s="28" t="s">
        <v>166</v>
      </c>
      <c r="D35" s="28" t="s">
        <v>174</v>
      </c>
      <c r="E35" s="29" t="s">
        <v>175</v>
      </c>
      <c r="F35" s="28" t="s">
        <v>176</v>
      </c>
      <c r="G35" s="24" t="s">
        <v>130</v>
      </c>
      <c r="H35" s="25" t="s">
        <v>18</v>
      </c>
      <c r="I35" s="26" t="s">
        <v>19</v>
      </c>
    </row>
    <row r="36" ht="14.25" customHeight="1">
      <c r="A36" s="28" t="s">
        <v>177</v>
      </c>
      <c r="B36" s="28" t="s">
        <v>178</v>
      </c>
      <c r="C36" s="28" t="s">
        <v>179</v>
      </c>
      <c r="D36" s="28" t="s">
        <v>180</v>
      </c>
      <c r="E36" s="29" t="s">
        <v>168</v>
      </c>
      <c r="F36" s="28" t="s">
        <v>163</v>
      </c>
      <c r="G36" s="24" t="s">
        <v>66</v>
      </c>
      <c r="H36" s="25" t="s">
        <v>64</v>
      </c>
      <c r="I36" s="26"/>
    </row>
    <row r="37" ht="14.25" customHeight="1">
      <c r="A37" s="28" t="s">
        <v>181</v>
      </c>
      <c r="B37" s="28" t="s">
        <v>182</v>
      </c>
      <c r="C37" s="28" t="s">
        <v>13</v>
      </c>
      <c r="D37" s="28" t="s">
        <v>183</v>
      </c>
      <c r="E37" s="29" t="s">
        <v>184</v>
      </c>
      <c r="F37" s="28" t="s">
        <v>185</v>
      </c>
      <c r="G37" s="24" t="s">
        <v>17</v>
      </c>
      <c r="H37" s="25" t="s">
        <v>18</v>
      </c>
      <c r="I37" s="26" t="s">
        <v>19</v>
      </c>
    </row>
    <row r="38" ht="14.25" customHeight="1">
      <c r="A38" s="28" t="s">
        <v>186</v>
      </c>
      <c r="B38" s="28" t="s">
        <v>187</v>
      </c>
      <c r="C38" s="28" t="s">
        <v>13</v>
      </c>
      <c r="D38" s="28" t="s">
        <v>188</v>
      </c>
      <c r="E38" s="29" t="s">
        <v>189</v>
      </c>
      <c r="F38" s="28" t="s">
        <v>185</v>
      </c>
      <c r="G38" s="24" t="s">
        <v>17</v>
      </c>
      <c r="H38" s="25" t="s">
        <v>18</v>
      </c>
      <c r="I38" s="26" t="s">
        <v>19</v>
      </c>
    </row>
    <row r="39" ht="14.25" customHeight="1">
      <c r="A39" s="28" t="s">
        <v>190</v>
      </c>
      <c r="B39" s="28" t="s">
        <v>191</v>
      </c>
      <c r="C39" s="28" t="s">
        <v>13</v>
      </c>
      <c r="D39" s="28" t="s">
        <v>192</v>
      </c>
      <c r="E39" s="29" t="s">
        <v>193</v>
      </c>
      <c r="F39" s="28" t="s">
        <v>185</v>
      </c>
      <c r="G39" s="24" t="s">
        <v>130</v>
      </c>
      <c r="H39" s="25" t="s">
        <v>37</v>
      </c>
      <c r="I39" s="26" t="s">
        <v>31</v>
      </c>
    </row>
    <row r="40" ht="14.25" customHeight="1">
      <c r="A40" s="28" t="s">
        <v>194</v>
      </c>
      <c r="B40" s="28" t="s">
        <v>195</v>
      </c>
      <c r="C40" s="28" t="s">
        <v>13</v>
      </c>
      <c r="D40" s="28" t="s">
        <v>196</v>
      </c>
      <c r="E40" s="29" t="s">
        <v>197</v>
      </c>
      <c r="F40" s="28" t="s">
        <v>185</v>
      </c>
      <c r="G40" s="24" t="s">
        <v>17</v>
      </c>
      <c r="H40" s="25" t="s">
        <v>18</v>
      </c>
      <c r="I40" s="26" t="s">
        <v>19</v>
      </c>
    </row>
    <row r="41" ht="14.25" customHeight="1">
      <c r="A41" s="28" t="s">
        <v>198</v>
      </c>
      <c r="B41" s="29" t="s">
        <v>199</v>
      </c>
      <c r="C41" s="28" t="s">
        <v>13</v>
      </c>
      <c r="D41" s="29" t="s">
        <v>200</v>
      </c>
      <c r="E41" s="29" t="s">
        <v>201</v>
      </c>
      <c r="F41" s="28" t="s">
        <v>185</v>
      </c>
      <c r="G41" s="24" t="s">
        <v>17</v>
      </c>
      <c r="H41" s="25" t="s">
        <v>30</v>
      </c>
      <c r="I41" s="26" t="s">
        <v>19</v>
      </c>
    </row>
    <row r="42" ht="14.25" customHeight="1">
      <c r="A42" s="28" t="s">
        <v>202</v>
      </c>
      <c r="B42" s="28" t="s">
        <v>203</v>
      </c>
      <c r="C42" s="28" t="s">
        <v>13</v>
      </c>
      <c r="D42" s="28" t="s">
        <v>204</v>
      </c>
      <c r="E42" s="29" t="s">
        <v>205</v>
      </c>
      <c r="F42" s="28" t="s">
        <v>185</v>
      </c>
      <c r="G42" s="24" t="s">
        <v>17</v>
      </c>
      <c r="H42" s="25" t="s">
        <v>30</v>
      </c>
      <c r="I42" s="26" t="s">
        <v>19</v>
      </c>
    </row>
    <row r="43" ht="14.25" customHeight="1">
      <c r="A43" s="28" t="s">
        <v>206</v>
      </c>
      <c r="B43" s="28" t="s">
        <v>207</v>
      </c>
      <c r="C43" s="28" t="s">
        <v>13</v>
      </c>
      <c r="D43" s="28" t="s">
        <v>208</v>
      </c>
      <c r="E43" s="29" t="s">
        <v>209</v>
      </c>
      <c r="F43" s="28" t="s">
        <v>185</v>
      </c>
      <c r="G43" s="24" t="s">
        <v>17</v>
      </c>
      <c r="H43" s="25" t="s">
        <v>37</v>
      </c>
      <c r="I43" s="26" t="s">
        <v>19</v>
      </c>
    </row>
    <row r="44" ht="14.25" customHeight="1">
      <c r="A44" s="28" t="s">
        <v>210</v>
      </c>
      <c r="B44" s="28" t="s">
        <v>211</v>
      </c>
      <c r="C44" s="28" t="s">
        <v>13</v>
      </c>
      <c r="D44" s="28" t="s">
        <v>212</v>
      </c>
      <c r="E44" s="29" t="s">
        <v>213</v>
      </c>
      <c r="F44" s="28" t="s">
        <v>185</v>
      </c>
      <c r="G44" s="24" t="s">
        <v>17</v>
      </c>
      <c r="H44" s="25" t="s">
        <v>37</v>
      </c>
      <c r="I44" s="26" t="s">
        <v>31</v>
      </c>
    </row>
    <row r="45" ht="14.25" customHeight="1">
      <c r="A45" s="28" t="s">
        <v>214</v>
      </c>
      <c r="B45" s="28" t="s">
        <v>215</v>
      </c>
      <c r="C45" s="28" t="s">
        <v>13</v>
      </c>
      <c r="D45" s="28" t="s">
        <v>216</v>
      </c>
      <c r="E45" s="29" t="s">
        <v>217</v>
      </c>
      <c r="F45" s="28" t="s">
        <v>185</v>
      </c>
      <c r="G45" s="24" t="s">
        <v>17</v>
      </c>
      <c r="H45" s="25" t="s">
        <v>18</v>
      </c>
      <c r="I45" s="26" t="s">
        <v>19</v>
      </c>
    </row>
    <row r="46" ht="14.25" customHeight="1">
      <c r="A46" s="28" t="s">
        <v>218</v>
      </c>
      <c r="B46" s="28" t="s">
        <v>219</v>
      </c>
      <c r="C46" s="28" t="s">
        <v>166</v>
      </c>
      <c r="D46" s="28" t="s">
        <v>220</v>
      </c>
      <c r="E46" s="29" t="s">
        <v>221</v>
      </c>
      <c r="F46" s="28" t="s">
        <v>185</v>
      </c>
      <c r="G46" s="24" t="s">
        <v>17</v>
      </c>
      <c r="H46" s="25" t="s">
        <v>18</v>
      </c>
      <c r="I46" s="26" t="s">
        <v>19</v>
      </c>
    </row>
    <row r="47" ht="14.25" customHeight="1">
      <c r="A47" s="28" t="s">
        <v>222</v>
      </c>
      <c r="B47" s="29" t="s">
        <v>223</v>
      </c>
      <c r="C47" s="28" t="s">
        <v>13</v>
      </c>
      <c r="D47" s="29" t="s">
        <v>224</v>
      </c>
      <c r="E47" s="29" t="s">
        <v>225</v>
      </c>
      <c r="F47" s="29" t="s">
        <v>226</v>
      </c>
      <c r="G47" s="24" t="s">
        <v>17</v>
      </c>
      <c r="H47" s="25" t="s">
        <v>18</v>
      </c>
      <c r="I47" s="26" t="s">
        <v>31</v>
      </c>
    </row>
    <row r="48" ht="14.25" customHeight="1">
      <c r="A48" s="28" t="s">
        <v>227</v>
      </c>
      <c r="B48" s="29" t="s">
        <v>228</v>
      </c>
      <c r="C48" s="28" t="s">
        <v>13</v>
      </c>
      <c r="D48" s="29" t="s">
        <v>229</v>
      </c>
      <c r="E48" s="29" t="s">
        <v>230</v>
      </c>
      <c r="F48" s="29" t="s">
        <v>185</v>
      </c>
      <c r="G48" s="24" t="s">
        <v>17</v>
      </c>
      <c r="H48" s="25" t="s">
        <v>37</v>
      </c>
      <c r="I48" s="26" t="s">
        <v>31</v>
      </c>
    </row>
    <row r="49" ht="14.25" customHeight="1">
      <c r="A49" s="28" t="s">
        <v>231</v>
      </c>
      <c r="B49" s="29" t="s">
        <v>232</v>
      </c>
      <c r="C49" s="29" t="s">
        <v>233</v>
      </c>
      <c r="D49" s="29" t="s">
        <v>234</v>
      </c>
      <c r="E49" s="29" t="s">
        <v>235</v>
      </c>
      <c r="F49" s="29" t="s">
        <v>226</v>
      </c>
      <c r="G49" s="24" t="s">
        <v>17</v>
      </c>
      <c r="H49" s="25" t="s">
        <v>18</v>
      </c>
      <c r="I49" s="26" t="s">
        <v>19</v>
      </c>
    </row>
    <row r="50" ht="14.25" customHeight="1">
      <c r="A50" s="28" t="s">
        <v>236</v>
      </c>
      <c r="B50" s="29" t="s">
        <v>237</v>
      </c>
      <c r="C50" s="28" t="s">
        <v>13</v>
      </c>
      <c r="D50" s="28" t="s">
        <v>238</v>
      </c>
      <c r="E50" s="29" t="s">
        <v>239</v>
      </c>
      <c r="F50" s="29" t="s">
        <v>226</v>
      </c>
      <c r="G50" s="24" t="s">
        <v>17</v>
      </c>
      <c r="H50" s="25" t="s">
        <v>37</v>
      </c>
      <c r="I50" s="26" t="s">
        <v>19</v>
      </c>
    </row>
    <row r="51" ht="14.25" customHeight="1">
      <c r="A51" s="28" t="s">
        <v>240</v>
      </c>
      <c r="B51" s="29" t="s">
        <v>241</v>
      </c>
      <c r="C51" s="28" t="s">
        <v>13</v>
      </c>
      <c r="D51" s="29" t="s">
        <v>242</v>
      </c>
      <c r="E51" s="29" t="s">
        <v>243</v>
      </c>
      <c r="F51" s="29" t="s">
        <v>226</v>
      </c>
      <c r="G51" s="24" t="s">
        <v>17</v>
      </c>
      <c r="H51" s="25" t="s">
        <v>30</v>
      </c>
      <c r="I51" s="26" t="s">
        <v>19</v>
      </c>
    </row>
    <row r="52" ht="14.25" customHeight="1">
      <c r="A52" s="28" t="s">
        <v>244</v>
      </c>
      <c r="B52" s="29" t="s">
        <v>245</v>
      </c>
      <c r="C52" s="28" t="s">
        <v>13</v>
      </c>
      <c r="D52" s="28" t="s">
        <v>246</v>
      </c>
      <c r="E52" s="29" t="s">
        <v>247</v>
      </c>
      <c r="F52" s="29" t="s">
        <v>226</v>
      </c>
      <c r="G52" s="24" t="s">
        <v>17</v>
      </c>
      <c r="H52" s="25" t="s">
        <v>30</v>
      </c>
      <c r="I52" s="26" t="s">
        <v>31</v>
      </c>
    </row>
    <row r="53" ht="14.25" customHeight="1">
      <c r="A53" s="28" t="s">
        <v>248</v>
      </c>
      <c r="B53" s="29" t="s">
        <v>249</v>
      </c>
      <c r="C53" s="28" t="s">
        <v>13</v>
      </c>
      <c r="D53" s="28" t="s">
        <v>250</v>
      </c>
      <c r="E53" s="29" t="s">
        <v>251</v>
      </c>
      <c r="F53" s="29" t="s">
        <v>226</v>
      </c>
      <c r="G53" s="24" t="s">
        <v>17</v>
      </c>
      <c r="H53" s="25" t="s">
        <v>37</v>
      </c>
      <c r="I53" s="26" t="s">
        <v>19</v>
      </c>
    </row>
    <row r="54" ht="14.25" customHeight="1">
      <c r="A54" s="28" t="s">
        <v>252</v>
      </c>
      <c r="B54" s="29" t="s">
        <v>253</v>
      </c>
      <c r="C54" s="28" t="s">
        <v>166</v>
      </c>
      <c r="D54" s="29" t="s">
        <v>254</v>
      </c>
      <c r="E54" s="29" t="s">
        <v>255</v>
      </c>
      <c r="F54" s="29" t="s">
        <v>226</v>
      </c>
      <c r="G54" s="24" t="s">
        <v>17</v>
      </c>
      <c r="H54" s="25" t="s">
        <v>37</v>
      </c>
      <c r="I54" s="26" t="s">
        <v>19</v>
      </c>
    </row>
    <row r="55" ht="14.25" customHeight="1">
      <c r="A55" s="28" t="s">
        <v>256</v>
      </c>
      <c r="B55" s="29" t="s">
        <v>257</v>
      </c>
      <c r="C55" s="28" t="s">
        <v>13</v>
      </c>
      <c r="D55" s="28" t="s">
        <v>258</v>
      </c>
      <c r="E55" s="29" t="s">
        <v>259</v>
      </c>
      <c r="F55" s="29" t="s">
        <v>226</v>
      </c>
      <c r="G55" s="24" t="s">
        <v>130</v>
      </c>
      <c r="H55" s="25" t="s">
        <v>18</v>
      </c>
      <c r="I55" s="26" t="s">
        <v>31</v>
      </c>
    </row>
    <row r="56" ht="14.25" customHeight="1">
      <c r="A56" s="28" t="s">
        <v>260</v>
      </c>
      <c r="B56" s="29" t="s">
        <v>261</v>
      </c>
      <c r="C56" s="28" t="s">
        <v>13</v>
      </c>
      <c r="D56" s="29" t="s">
        <v>262</v>
      </c>
      <c r="E56" s="29" t="s">
        <v>263</v>
      </c>
      <c r="F56" s="29" t="s">
        <v>65</v>
      </c>
      <c r="G56" s="24" t="s">
        <v>17</v>
      </c>
      <c r="H56" s="25" t="s">
        <v>18</v>
      </c>
      <c r="I56" s="26" t="s">
        <v>19</v>
      </c>
    </row>
    <row r="57" ht="14.25" customHeight="1">
      <c r="A57" s="28" t="s">
        <v>264</v>
      </c>
      <c r="B57" s="28" t="s">
        <v>265</v>
      </c>
      <c r="C57" s="28" t="s">
        <v>13</v>
      </c>
      <c r="D57" s="29" t="s">
        <v>266</v>
      </c>
      <c r="E57" s="29" t="s">
        <v>266</v>
      </c>
      <c r="F57" s="28" t="s">
        <v>267</v>
      </c>
      <c r="G57" s="24" t="s">
        <v>17</v>
      </c>
      <c r="H57" s="25" t="s">
        <v>18</v>
      </c>
      <c r="I57" s="26" t="s">
        <v>31</v>
      </c>
    </row>
    <row r="58" ht="14.25" customHeight="1">
      <c r="A58" s="28" t="s">
        <v>268</v>
      </c>
      <c r="B58" s="28" t="s">
        <v>269</v>
      </c>
      <c r="C58" s="28" t="s">
        <v>270</v>
      </c>
      <c r="D58" s="28" t="s">
        <v>271</v>
      </c>
      <c r="E58" s="29" t="s">
        <v>272</v>
      </c>
      <c r="F58" s="28" t="s">
        <v>267</v>
      </c>
      <c r="G58" s="24" t="s">
        <v>17</v>
      </c>
      <c r="H58" s="25" t="s">
        <v>30</v>
      </c>
      <c r="I58" s="26" t="s">
        <v>31</v>
      </c>
    </row>
    <row r="59" ht="14.25" customHeight="1">
      <c r="A59" s="28" t="s">
        <v>273</v>
      </c>
      <c r="B59" s="29" t="s">
        <v>274</v>
      </c>
      <c r="C59" s="28" t="s">
        <v>270</v>
      </c>
      <c r="D59" s="28" t="s">
        <v>275</v>
      </c>
      <c r="E59" s="29" t="s">
        <v>276</v>
      </c>
      <c r="F59" s="28" t="s">
        <v>267</v>
      </c>
      <c r="G59" s="24" t="s">
        <v>17</v>
      </c>
      <c r="H59" s="25" t="s">
        <v>18</v>
      </c>
      <c r="I59" s="26" t="s">
        <v>19</v>
      </c>
    </row>
    <row r="60" ht="14.25" customHeight="1">
      <c r="A60" s="28" t="s">
        <v>277</v>
      </c>
      <c r="B60" s="29" t="s">
        <v>278</v>
      </c>
      <c r="C60" s="28" t="s">
        <v>13</v>
      </c>
      <c r="D60" s="29" t="s">
        <v>279</v>
      </c>
      <c r="E60" s="29" t="s">
        <v>280</v>
      </c>
      <c r="F60" s="28" t="s">
        <v>267</v>
      </c>
      <c r="G60" s="24" t="s">
        <v>17</v>
      </c>
      <c r="H60" s="25" t="s">
        <v>30</v>
      </c>
      <c r="I60" s="26" t="s">
        <v>19</v>
      </c>
    </row>
    <row r="61" ht="14.25" customHeight="1">
      <c r="A61" s="28" t="s">
        <v>281</v>
      </c>
      <c r="B61" s="29" t="s">
        <v>282</v>
      </c>
      <c r="C61" s="28" t="s">
        <v>13</v>
      </c>
      <c r="D61" s="29" t="s">
        <v>283</v>
      </c>
      <c r="E61" s="29" t="s">
        <v>280</v>
      </c>
      <c r="F61" s="28" t="s">
        <v>267</v>
      </c>
      <c r="G61" s="24" t="s">
        <v>17</v>
      </c>
      <c r="H61" s="25" t="s">
        <v>30</v>
      </c>
      <c r="I61" s="26" t="s">
        <v>19</v>
      </c>
    </row>
    <row r="62" ht="14.25" customHeight="1">
      <c r="A62" s="28" t="s">
        <v>284</v>
      </c>
      <c r="B62" s="29" t="s">
        <v>285</v>
      </c>
      <c r="C62" s="28" t="s">
        <v>13</v>
      </c>
      <c r="D62" s="28" t="s">
        <v>286</v>
      </c>
      <c r="E62" s="29" t="s">
        <v>287</v>
      </c>
      <c r="F62" s="28" t="s">
        <v>267</v>
      </c>
      <c r="G62" s="24" t="s">
        <v>17</v>
      </c>
      <c r="H62" s="25" t="s">
        <v>18</v>
      </c>
      <c r="I62" s="26" t="s">
        <v>19</v>
      </c>
    </row>
    <row r="63" ht="14.25" customHeight="1">
      <c r="A63" s="28" t="s">
        <v>288</v>
      </c>
      <c r="B63" s="28" t="s">
        <v>289</v>
      </c>
      <c r="C63" s="28" t="s">
        <v>166</v>
      </c>
      <c r="D63" s="28" t="s">
        <v>290</v>
      </c>
      <c r="E63" s="29" t="s">
        <v>291</v>
      </c>
      <c r="F63" s="28" t="s">
        <v>267</v>
      </c>
      <c r="G63" s="24" t="s">
        <v>17</v>
      </c>
      <c r="H63" s="25" t="s">
        <v>18</v>
      </c>
      <c r="I63" s="26" t="s">
        <v>19</v>
      </c>
    </row>
    <row r="64" ht="14.25" customHeight="1">
      <c r="A64" s="28" t="s">
        <v>292</v>
      </c>
      <c r="B64" s="28" t="s">
        <v>293</v>
      </c>
      <c r="C64" s="28" t="s">
        <v>13</v>
      </c>
      <c r="D64" s="28" t="s">
        <v>294</v>
      </c>
      <c r="E64" s="29" t="s">
        <v>295</v>
      </c>
      <c r="F64" s="28" t="s">
        <v>267</v>
      </c>
      <c r="G64" s="24" t="s">
        <v>17</v>
      </c>
      <c r="H64" s="25" t="s">
        <v>37</v>
      </c>
      <c r="I64" s="26" t="s">
        <v>19</v>
      </c>
    </row>
    <row r="65" ht="14.25" customHeight="1">
      <c r="A65" s="28" t="s">
        <v>296</v>
      </c>
      <c r="B65" s="28" t="s">
        <v>297</v>
      </c>
      <c r="C65" s="28" t="s">
        <v>13</v>
      </c>
      <c r="D65" s="29" t="s">
        <v>298</v>
      </c>
      <c r="E65" s="29" t="s">
        <v>298</v>
      </c>
      <c r="F65" s="28" t="s">
        <v>267</v>
      </c>
      <c r="G65" s="24" t="s">
        <v>17</v>
      </c>
      <c r="H65" s="25" t="s">
        <v>37</v>
      </c>
      <c r="I65" s="26" t="s">
        <v>19</v>
      </c>
    </row>
    <row r="66" ht="14.25" customHeight="1">
      <c r="A66" s="28" t="s">
        <v>299</v>
      </c>
      <c r="B66" s="28" t="s">
        <v>300</v>
      </c>
      <c r="C66" s="28" t="s">
        <v>13</v>
      </c>
      <c r="D66" s="28" t="s">
        <v>301</v>
      </c>
      <c r="E66" s="29" t="s">
        <v>302</v>
      </c>
      <c r="F66" s="28" t="s">
        <v>267</v>
      </c>
      <c r="G66" s="24" t="s">
        <v>17</v>
      </c>
      <c r="H66" s="25" t="s">
        <v>37</v>
      </c>
      <c r="I66" s="26" t="s">
        <v>31</v>
      </c>
    </row>
    <row r="67" ht="14.25" customHeight="1">
      <c r="A67" s="28" t="s">
        <v>303</v>
      </c>
      <c r="B67" s="28" t="s">
        <v>304</v>
      </c>
      <c r="C67" s="28" t="s">
        <v>270</v>
      </c>
      <c r="D67" s="29" t="s">
        <v>305</v>
      </c>
      <c r="E67" s="29" t="s">
        <v>305</v>
      </c>
      <c r="F67" s="28" t="s">
        <v>120</v>
      </c>
      <c r="G67" s="24" t="s">
        <v>17</v>
      </c>
      <c r="H67" s="25" t="s">
        <v>18</v>
      </c>
      <c r="I67" s="26" t="s">
        <v>31</v>
      </c>
    </row>
    <row r="68" ht="14.25" customHeight="1">
      <c r="A68" s="28" t="s">
        <v>306</v>
      </c>
      <c r="B68" s="28" t="s">
        <v>307</v>
      </c>
      <c r="C68" s="28" t="s">
        <v>270</v>
      </c>
      <c r="D68" s="28" t="s">
        <v>308</v>
      </c>
      <c r="E68" s="24" t="s">
        <v>64</v>
      </c>
      <c r="F68" s="28" t="s">
        <v>120</v>
      </c>
      <c r="G68" s="24" t="s">
        <v>66</v>
      </c>
      <c r="H68" s="25" t="s">
        <v>64</v>
      </c>
      <c r="I68" s="26"/>
    </row>
    <row r="69" ht="14.25" customHeight="1">
      <c r="A69" s="28" t="s">
        <v>309</v>
      </c>
      <c r="B69" s="28" t="s">
        <v>310</v>
      </c>
      <c r="C69" s="28" t="s">
        <v>13</v>
      </c>
      <c r="D69" s="28" t="s">
        <v>311</v>
      </c>
      <c r="E69" s="24" t="s">
        <v>64</v>
      </c>
      <c r="F69" s="28" t="s">
        <v>120</v>
      </c>
      <c r="G69" s="24" t="s">
        <v>66</v>
      </c>
      <c r="H69" s="25" t="s">
        <v>64</v>
      </c>
      <c r="I69" s="26"/>
    </row>
    <row r="70" ht="14.25" customHeight="1">
      <c r="A70" s="28" t="s">
        <v>312</v>
      </c>
      <c r="B70" s="28" t="s">
        <v>313</v>
      </c>
      <c r="C70" s="28" t="s">
        <v>13</v>
      </c>
      <c r="D70" s="28" t="s">
        <v>314</v>
      </c>
      <c r="E70" s="29" t="s">
        <v>315</v>
      </c>
      <c r="F70" s="28" t="s">
        <v>120</v>
      </c>
      <c r="G70" s="24" t="s">
        <v>91</v>
      </c>
      <c r="H70" s="25"/>
      <c r="I70" s="26" t="s">
        <v>31</v>
      </c>
    </row>
    <row r="71" ht="14.25" customHeight="1">
      <c r="A71" s="28" t="s">
        <v>316</v>
      </c>
      <c r="B71" s="30" t="s">
        <v>317</v>
      </c>
      <c r="C71" s="28" t="s">
        <v>13</v>
      </c>
      <c r="D71" s="29" t="s">
        <v>318</v>
      </c>
      <c r="E71" s="29" t="s">
        <v>318</v>
      </c>
      <c r="F71" s="28" t="s">
        <v>120</v>
      </c>
      <c r="G71" s="24" t="s">
        <v>17</v>
      </c>
      <c r="H71" s="25" t="s">
        <v>18</v>
      </c>
      <c r="I71" s="26"/>
    </row>
    <row r="72" ht="14.25" customHeight="1">
      <c r="A72" s="28" t="s">
        <v>319</v>
      </c>
      <c r="B72" s="28" t="s">
        <v>320</v>
      </c>
      <c r="C72" s="28" t="s">
        <v>13</v>
      </c>
      <c r="D72" s="28" t="s">
        <v>321</v>
      </c>
      <c r="E72" s="28" t="s">
        <v>321</v>
      </c>
      <c r="F72" s="28" t="s">
        <v>120</v>
      </c>
      <c r="G72" s="24" t="s">
        <v>17</v>
      </c>
      <c r="H72" s="25" t="s">
        <v>30</v>
      </c>
      <c r="I72" s="26"/>
    </row>
    <row r="73" ht="14.25" customHeight="1">
      <c r="A73" s="28" t="s">
        <v>322</v>
      </c>
      <c r="B73" s="30" t="s">
        <v>323</v>
      </c>
      <c r="C73" s="28" t="s">
        <v>166</v>
      </c>
      <c r="D73" s="28" t="s">
        <v>324</v>
      </c>
      <c r="E73" s="28" t="s">
        <v>324</v>
      </c>
      <c r="F73" s="28" t="s">
        <v>120</v>
      </c>
      <c r="G73" s="24" t="s">
        <v>17</v>
      </c>
      <c r="H73" s="25" t="s">
        <v>30</v>
      </c>
      <c r="I73" s="26" t="s">
        <v>31</v>
      </c>
    </row>
    <row r="74" ht="14.25" customHeight="1">
      <c r="A74" s="28" t="s">
        <v>325</v>
      </c>
      <c r="B74" s="29" t="s">
        <v>326</v>
      </c>
      <c r="C74" s="28" t="s">
        <v>13</v>
      </c>
      <c r="D74" s="29" t="s">
        <v>327</v>
      </c>
      <c r="E74" s="29" t="s">
        <v>327</v>
      </c>
      <c r="F74" s="28" t="s">
        <v>120</v>
      </c>
      <c r="G74" s="24" t="s">
        <v>17</v>
      </c>
      <c r="H74" s="25" t="s">
        <v>30</v>
      </c>
      <c r="I74" s="26" t="s">
        <v>31</v>
      </c>
    </row>
    <row r="75" ht="14.25" customHeight="1">
      <c r="A75" s="28" t="s">
        <v>328</v>
      </c>
      <c r="B75" s="30" t="s">
        <v>329</v>
      </c>
      <c r="C75" s="28" t="s">
        <v>270</v>
      </c>
      <c r="D75" s="28" t="s">
        <v>330</v>
      </c>
      <c r="E75" s="29" t="s">
        <v>331</v>
      </c>
      <c r="F75" s="28" t="s">
        <v>332</v>
      </c>
      <c r="G75" s="24" t="s">
        <v>17</v>
      </c>
      <c r="H75" s="25" t="s">
        <v>18</v>
      </c>
      <c r="I75" s="26" t="s">
        <v>31</v>
      </c>
    </row>
    <row r="76" ht="14.25" customHeight="1">
      <c r="A76" s="28" t="s">
        <v>333</v>
      </c>
      <c r="B76" s="28" t="s">
        <v>334</v>
      </c>
      <c r="C76" s="28" t="s">
        <v>13</v>
      </c>
      <c r="D76" s="28" t="s">
        <v>335</v>
      </c>
      <c r="E76" s="28" t="s">
        <v>335</v>
      </c>
      <c r="F76" s="28" t="s">
        <v>332</v>
      </c>
      <c r="G76" s="24" t="s">
        <v>17</v>
      </c>
      <c r="H76" s="25" t="s">
        <v>18</v>
      </c>
      <c r="I76" s="26" t="s">
        <v>19</v>
      </c>
    </row>
    <row r="77" ht="14.25" customHeight="1">
      <c r="A77" s="28" t="s">
        <v>336</v>
      </c>
      <c r="B77" s="28" t="s">
        <v>337</v>
      </c>
      <c r="C77" s="28" t="s">
        <v>13</v>
      </c>
      <c r="D77" s="28" t="s">
        <v>338</v>
      </c>
      <c r="E77" s="28" t="s">
        <v>338</v>
      </c>
      <c r="F77" s="28" t="s">
        <v>332</v>
      </c>
      <c r="G77" s="24" t="s">
        <v>17</v>
      </c>
      <c r="H77" s="25" t="s">
        <v>18</v>
      </c>
      <c r="I77" s="26" t="s">
        <v>19</v>
      </c>
    </row>
    <row r="78" ht="14.25" customHeight="1">
      <c r="A78" s="28" t="s">
        <v>339</v>
      </c>
      <c r="B78" s="28" t="s">
        <v>340</v>
      </c>
      <c r="C78" s="28" t="s">
        <v>13</v>
      </c>
      <c r="D78" s="28" t="s">
        <v>341</v>
      </c>
      <c r="E78" s="28" t="s">
        <v>341</v>
      </c>
      <c r="F78" s="28" t="s">
        <v>332</v>
      </c>
      <c r="G78" s="24" t="s">
        <v>17</v>
      </c>
      <c r="H78" s="25" t="s">
        <v>18</v>
      </c>
      <c r="I78" s="26" t="s">
        <v>19</v>
      </c>
    </row>
    <row r="79" ht="14.25" customHeight="1">
      <c r="A79" s="28" t="s">
        <v>342</v>
      </c>
      <c r="B79" s="28" t="s">
        <v>343</v>
      </c>
      <c r="C79" s="28" t="s">
        <v>13</v>
      </c>
      <c r="D79" s="28" t="s">
        <v>344</v>
      </c>
      <c r="E79" s="28" t="s">
        <v>344</v>
      </c>
      <c r="F79" s="28" t="s">
        <v>332</v>
      </c>
      <c r="G79" s="24" t="s">
        <v>17</v>
      </c>
      <c r="H79" s="25" t="s">
        <v>18</v>
      </c>
      <c r="I79" s="26" t="s">
        <v>19</v>
      </c>
    </row>
    <row r="80" ht="14.25" customHeight="1">
      <c r="A80" s="28" t="s">
        <v>345</v>
      </c>
      <c r="B80" s="28" t="s">
        <v>346</v>
      </c>
      <c r="C80" s="28" t="s">
        <v>13</v>
      </c>
      <c r="D80" s="28" t="s">
        <v>347</v>
      </c>
      <c r="E80" s="29" t="s">
        <v>348</v>
      </c>
      <c r="F80" s="28" t="s">
        <v>332</v>
      </c>
      <c r="G80" s="24" t="s">
        <v>17</v>
      </c>
      <c r="H80" s="25" t="s">
        <v>18</v>
      </c>
      <c r="I80" s="26" t="s">
        <v>19</v>
      </c>
    </row>
    <row r="81" ht="14.25" customHeight="1">
      <c r="A81" s="28" t="s">
        <v>349</v>
      </c>
      <c r="B81" s="28" t="s">
        <v>350</v>
      </c>
      <c r="C81" s="28" t="s">
        <v>351</v>
      </c>
      <c r="D81" s="28" t="s">
        <v>352</v>
      </c>
      <c r="E81" s="29" t="s">
        <v>353</v>
      </c>
      <c r="F81" s="28" t="s">
        <v>351</v>
      </c>
      <c r="G81" s="24" t="s">
        <v>66</v>
      </c>
      <c r="H81" s="25" t="s">
        <v>64</v>
      </c>
      <c r="I81" s="26"/>
    </row>
    <row r="82" ht="14.25" customHeight="1">
      <c r="A82" s="28" t="s">
        <v>354</v>
      </c>
      <c r="B82" s="28" t="s">
        <v>355</v>
      </c>
      <c r="C82" s="28" t="s">
        <v>351</v>
      </c>
      <c r="D82" s="28" t="s">
        <v>356</v>
      </c>
      <c r="E82" s="29" t="s">
        <v>357</v>
      </c>
      <c r="F82" s="28" t="s">
        <v>358</v>
      </c>
      <c r="G82" s="24" t="s">
        <v>17</v>
      </c>
      <c r="H82" s="25" t="s">
        <v>30</v>
      </c>
      <c r="I82" s="26" t="s">
        <v>19</v>
      </c>
    </row>
    <row r="83" ht="14.25" customHeight="1">
      <c r="A83" s="28" t="s">
        <v>359</v>
      </c>
      <c r="B83" s="30" t="s">
        <v>360</v>
      </c>
      <c r="C83" s="28" t="s">
        <v>351</v>
      </c>
      <c r="D83" s="28" t="s">
        <v>361</v>
      </c>
      <c r="E83" s="29" t="s">
        <v>362</v>
      </c>
      <c r="F83" s="28" t="s">
        <v>351</v>
      </c>
      <c r="G83" s="24" t="s">
        <v>17</v>
      </c>
      <c r="H83" s="25" t="s">
        <v>18</v>
      </c>
      <c r="I83" s="26" t="s">
        <v>31</v>
      </c>
    </row>
    <row r="84" ht="14.25" customHeight="1">
      <c r="A84" s="28" t="s">
        <v>363</v>
      </c>
      <c r="B84" s="30" t="s">
        <v>364</v>
      </c>
      <c r="C84" s="28" t="s">
        <v>351</v>
      </c>
      <c r="D84" s="28" t="s">
        <v>365</v>
      </c>
      <c r="E84" s="29" t="s">
        <v>365</v>
      </c>
      <c r="F84" s="28" t="s">
        <v>351</v>
      </c>
      <c r="G84" s="24" t="s">
        <v>17</v>
      </c>
      <c r="H84" s="25" t="s">
        <v>18</v>
      </c>
      <c r="I84" s="26" t="s">
        <v>110</v>
      </c>
    </row>
    <row r="85" ht="14.25" customHeight="1">
      <c r="A85" s="28" t="s">
        <v>366</v>
      </c>
      <c r="B85" s="28" t="s">
        <v>367</v>
      </c>
      <c r="C85" s="28" t="s">
        <v>351</v>
      </c>
      <c r="D85" s="28" t="s">
        <v>368</v>
      </c>
      <c r="E85" s="28" t="s">
        <v>368</v>
      </c>
      <c r="F85" s="28" t="s">
        <v>351</v>
      </c>
      <c r="G85" s="24" t="s">
        <v>17</v>
      </c>
      <c r="H85" s="25" t="s">
        <v>18</v>
      </c>
      <c r="I85" s="26" t="s">
        <v>110</v>
      </c>
    </row>
    <row r="86" ht="14.25" customHeight="1">
      <c r="A86" s="28" t="s">
        <v>369</v>
      </c>
      <c r="B86" s="28" t="s">
        <v>370</v>
      </c>
      <c r="C86" s="28" t="s">
        <v>151</v>
      </c>
      <c r="D86" s="29" t="s">
        <v>371</v>
      </c>
      <c r="E86" s="29" t="s">
        <v>371</v>
      </c>
      <c r="F86" s="28" t="s">
        <v>151</v>
      </c>
      <c r="G86" s="24" t="s">
        <v>17</v>
      </c>
      <c r="H86" s="25" t="s">
        <v>30</v>
      </c>
      <c r="I86" s="26" t="s">
        <v>31</v>
      </c>
    </row>
    <row r="87" ht="14.25" customHeight="1">
      <c r="A87" s="28" t="s">
        <v>372</v>
      </c>
      <c r="B87" s="28" t="s">
        <v>373</v>
      </c>
      <c r="C87" s="28" t="s">
        <v>374</v>
      </c>
      <c r="D87" s="28" t="s">
        <v>375</v>
      </c>
      <c r="E87" s="29" t="s">
        <v>376</v>
      </c>
      <c r="F87" s="28" t="s">
        <v>166</v>
      </c>
      <c r="G87" s="24" t="s">
        <v>17</v>
      </c>
      <c r="H87" s="25" t="s">
        <v>37</v>
      </c>
      <c r="I87" s="26" t="s">
        <v>19</v>
      </c>
    </row>
    <row r="88" ht="14.25" customHeight="1">
      <c r="A88" s="28" t="s">
        <v>377</v>
      </c>
      <c r="B88" s="28" t="s">
        <v>378</v>
      </c>
      <c r="C88" s="28" t="s">
        <v>374</v>
      </c>
      <c r="D88" s="28" t="s">
        <v>379</v>
      </c>
      <c r="E88" s="28" t="s">
        <v>379</v>
      </c>
      <c r="F88" s="28" t="s">
        <v>166</v>
      </c>
      <c r="G88" s="24" t="s">
        <v>17</v>
      </c>
      <c r="H88" s="25" t="s">
        <v>37</v>
      </c>
      <c r="I88" s="26" t="s">
        <v>19</v>
      </c>
    </row>
    <row r="89" ht="14.25" customHeight="1">
      <c r="A89" s="28" t="s">
        <v>380</v>
      </c>
      <c r="B89" s="28" t="s">
        <v>381</v>
      </c>
      <c r="C89" s="28" t="s">
        <v>166</v>
      </c>
      <c r="D89" s="28" t="s">
        <v>382</v>
      </c>
      <c r="E89" s="29" t="s">
        <v>383</v>
      </c>
      <c r="F89" s="28" t="s">
        <v>166</v>
      </c>
      <c r="G89" s="24" t="s">
        <v>91</v>
      </c>
      <c r="H89" s="25" t="s">
        <v>64</v>
      </c>
      <c r="I89" s="26"/>
    </row>
    <row r="90" ht="14.25" customHeight="1">
      <c r="A90" s="28" t="s">
        <v>384</v>
      </c>
      <c r="B90" s="28" t="s">
        <v>385</v>
      </c>
      <c r="C90" s="28" t="s">
        <v>166</v>
      </c>
      <c r="D90" s="28" t="s">
        <v>386</v>
      </c>
      <c r="E90" s="28" t="s">
        <v>386</v>
      </c>
      <c r="F90" s="28" t="s">
        <v>166</v>
      </c>
      <c r="G90" s="24" t="s">
        <v>17</v>
      </c>
      <c r="H90" s="25" t="s">
        <v>37</v>
      </c>
      <c r="I90" s="26" t="s">
        <v>19</v>
      </c>
    </row>
    <row r="91" ht="14.25" customHeight="1">
      <c r="A91" s="28" t="s">
        <v>387</v>
      </c>
      <c r="B91" s="28" t="s">
        <v>388</v>
      </c>
      <c r="C91" s="28" t="s">
        <v>166</v>
      </c>
      <c r="D91" s="28" t="s">
        <v>389</v>
      </c>
      <c r="E91" s="29" t="s">
        <v>390</v>
      </c>
      <c r="F91" s="28" t="s">
        <v>166</v>
      </c>
      <c r="G91" s="24" t="s">
        <v>17</v>
      </c>
      <c r="H91" s="25" t="s">
        <v>37</v>
      </c>
      <c r="I91" s="26" t="s">
        <v>19</v>
      </c>
    </row>
    <row r="92" ht="14.25" customHeight="1">
      <c r="A92" s="28" t="s">
        <v>391</v>
      </c>
      <c r="B92" s="28" t="s">
        <v>392</v>
      </c>
      <c r="C92" s="28" t="s">
        <v>393</v>
      </c>
      <c r="D92" s="28" t="s">
        <v>394</v>
      </c>
      <c r="E92" s="28" t="s">
        <v>394</v>
      </c>
      <c r="F92" s="28" t="s">
        <v>395</v>
      </c>
      <c r="G92" s="24" t="s">
        <v>17</v>
      </c>
      <c r="H92" s="25" t="s">
        <v>18</v>
      </c>
      <c r="I92" s="26" t="s">
        <v>31</v>
      </c>
    </row>
    <row r="93" ht="14.25" customHeight="1">
      <c r="A93" s="28" t="s">
        <v>396</v>
      </c>
      <c r="B93" s="29" t="s">
        <v>397</v>
      </c>
      <c r="C93" s="28" t="s">
        <v>393</v>
      </c>
      <c r="D93" s="29" t="s">
        <v>398</v>
      </c>
      <c r="E93" s="29" t="s">
        <v>399</v>
      </c>
      <c r="F93" s="28" t="s">
        <v>395</v>
      </c>
      <c r="G93" s="24" t="s">
        <v>17</v>
      </c>
      <c r="H93" s="25" t="s">
        <v>30</v>
      </c>
      <c r="I93" s="26" t="s">
        <v>31</v>
      </c>
    </row>
    <row r="94" ht="14.25" customHeight="1">
      <c r="A94" s="28" t="s">
        <v>400</v>
      </c>
      <c r="B94" s="29" t="s">
        <v>401</v>
      </c>
      <c r="C94" s="29" t="s">
        <v>13</v>
      </c>
      <c r="D94" s="29" t="s">
        <v>402</v>
      </c>
      <c r="E94" s="29" t="s">
        <v>403</v>
      </c>
      <c r="F94" s="29" t="s">
        <v>332</v>
      </c>
      <c r="G94" s="24" t="s">
        <v>17</v>
      </c>
      <c r="H94" s="25" t="s">
        <v>30</v>
      </c>
      <c r="I94" s="26" t="s">
        <v>110</v>
      </c>
    </row>
    <row r="95" ht="14.25" customHeight="1">
      <c r="A95" s="28" t="s">
        <v>404</v>
      </c>
      <c r="B95" s="29" t="s">
        <v>405</v>
      </c>
      <c r="C95" s="29" t="s">
        <v>13</v>
      </c>
      <c r="D95" s="29" t="s">
        <v>406</v>
      </c>
      <c r="E95" s="29" t="s">
        <v>406</v>
      </c>
      <c r="F95" s="29" t="s">
        <v>407</v>
      </c>
      <c r="G95" s="24" t="s">
        <v>17</v>
      </c>
      <c r="H95" s="25" t="s">
        <v>30</v>
      </c>
      <c r="I95" s="26" t="s">
        <v>19</v>
      </c>
    </row>
    <row r="96" ht="14.25" customHeight="1">
      <c r="A96" s="28" t="s">
        <v>408</v>
      </c>
      <c r="B96" s="29" t="s">
        <v>409</v>
      </c>
      <c r="C96" s="29" t="s">
        <v>13</v>
      </c>
      <c r="D96" s="29" t="s">
        <v>410</v>
      </c>
      <c r="E96" s="29" t="s">
        <v>410</v>
      </c>
      <c r="F96" s="29" t="s">
        <v>185</v>
      </c>
      <c r="G96" s="24" t="s">
        <v>17</v>
      </c>
      <c r="H96" s="25" t="s">
        <v>30</v>
      </c>
      <c r="I96" s="26" t="s">
        <v>19</v>
      </c>
    </row>
    <row r="97" ht="14.25" customHeight="1">
      <c r="A97" s="28" t="s">
        <v>411</v>
      </c>
      <c r="B97" s="28" t="s">
        <v>412</v>
      </c>
      <c r="C97" s="28" t="s">
        <v>13</v>
      </c>
      <c r="D97" s="29" t="s">
        <v>413</v>
      </c>
      <c r="E97" s="29" t="s">
        <v>414</v>
      </c>
      <c r="F97" s="28" t="s">
        <v>415</v>
      </c>
      <c r="G97" s="24" t="s">
        <v>17</v>
      </c>
      <c r="H97" s="25" t="s">
        <v>18</v>
      </c>
      <c r="I97" s="26" t="s">
        <v>19</v>
      </c>
    </row>
    <row r="98" ht="14.25" customHeight="1">
      <c r="A98" s="28" t="s">
        <v>416</v>
      </c>
      <c r="B98" s="28" t="s">
        <v>417</v>
      </c>
      <c r="C98" s="28" t="s">
        <v>13</v>
      </c>
      <c r="D98" s="28" t="s">
        <v>418</v>
      </c>
      <c r="E98" s="29" t="s">
        <v>419</v>
      </c>
      <c r="F98" s="28" t="s">
        <v>185</v>
      </c>
      <c r="G98" s="24" t="s">
        <v>91</v>
      </c>
      <c r="H98" s="25" t="s">
        <v>64</v>
      </c>
      <c r="I98" s="26"/>
    </row>
    <row r="99" ht="14.25" customHeight="1">
      <c r="A99" s="28" t="s">
        <v>420</v>
      </c>
      <c r="B99" s="28" t="s">
        <v>421</v>
      </c>
      <c r="C99" s="28" t="s">
        <v>351</v>
      </c>
      <c r="D99" s="28" t="s">
        <v>422</v>
      </c>
      <c r="E99" s="29" t="s">
        <v>423</v>
      </c>
      <c r="F99" s="28" t="s">
        <v>185</v>
      </c>
      <c r="G99" s="24" t="s">
        <v>66</v>
      </c>
      <c r="H99" s="25" t="s">
        <v>64</v>
      </c>
      <c r="I99" s="26"/>
    </row>
    <row r="100" ht="14.25" customHeight="1">
      <c r="A100" s="28" t="s">
        <v>424</v>
      </c>
      <c r="B100" s="28" t="s">
        <v>425</v>
      </c>
      <c r="C100" s="28" t="s">
        <v>426</v>
      </c>
      <c r="D100" s="28" t="s">
        <v>427</v>
      </c>
      <c r="E100" s="29" t="s">
        <v>428</v>
      </c>
      <c r="F100" s="28" t="s">
        <v>185</v>
      </c>
      <c r="G100" s="24" t="s">
        <v>91</v>
      </c>
      <c r="H100" s="25" t="s">
        <v>64</v>
      </c>
      <c r="I100" s="26"/>
    </row>
    <row r="101" ht="14.25" customHeight="1">
      <c r="A101" s="28" t="s">
        <v>429</v>
      </c>
      <c r="B101" s="28" t="s">
        <v>430</v>
      </c>
      <c r="C101" s="28" t="s">
        <v>13</v>
      </c>
      <c r="D101" s="28" t="s">
        <v>431</v>
      </c>
      <c r="E101" s="29" t="s">
        <v>432</v>
      </c>
      <c r="F101" s="28" t="s">
        <v>185</v>
      </c>
      <c r="G101" s="24" t="s">
        <v>17</v>
      </c>
      <c r="H101" s="25" t="s">
        <v>37</v>
      </c>
      <c r="I101" s="26" t="s">
        <v>19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list" allowBlank="1" showErrorMessage="1" sqref="G2:G101">
      <formula1>'Datos del plan'!$B$1:$B$5</formula1>
    </dataValidation>
    <dataValidation type="list" allowBlank="1" showErrorMessage="1" sqref="I2:I101">
      <formula1>'Datos del plan'!$C$1:$C$3</formula1>
    </dataValidation>
    <dataValidation type="list" allowBlank="1" showErrorMessage="1" sqref="C2:C31">
      <formula1>'Datos del plan'!$A$1:$A$8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6.14"/>
    <col customWidth="1" min="4" max="4" width="11.57"/>
    <col customWidth="1" min="5" max="5" width="4.86"/>
    <col customWidth="1" min="6" max="6" width="17.0"/>
    <col customWidth="1" min="7" max="11" width="10.71"/>
    <col customWidth="1" min="12" max="12" width="5.43"/>
    <col customWidth="1" min="13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W1" s="1"/>
    </row>
    <row r="2" ht="14.25" customHeight="1">
      <c r="A2" s="1"/>
      <c r="B2" s="31"/>
      <c r="C2" s="31"/>
      <c r="D2" s="3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Z2" s="1"/>
    </row>
    <row r="3" ht="14.25" customHeight="1">
      <c r="A3" s="1"/>
      <c r="B3" s="31"/>
      <c r="C3" s="31"/>
      <c r="D3" s="3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Z3" s="1"/>
    </row>
    <row r="4" ht="14.25" customHeight="1">
      <c r="A4" s="1"/>
      <c r="B4" s="31"/>
      <c r="C4" s="31"/>
      <c r="D4" s="3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32"/>
      <c r="Q5" s="1"/>
      <c r="R5" s="1"/>
      <c r="Z5" s="1"/>
    </row>
    <row r="6" ht="14.25" customHeight="1">
      <c r="A6" s="1"/>
      <c r="B6" s="33" t="s">
        <v>433</v>
      </c>
      <c r="C6" s="34" t="s">
        <v>17</v>
      </c>
      <c r="D6" s="35">
        <f>COUNTIF('Identificación Casos'!G2:G12,Control!C6)</f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2"/>
      <c r="Q6" s="1"/>
      <c r="R6" s="1"/>
      <c r="Z6" s="1"/>
    </row>
    <row r="7" ht="14.25" customHeight="1">
      <c r="A7" s="1"/>
      <c r="B7" s="36"/>
      <c r="C7" s="34" t="s">
        <v>130</v>
      </c>
      <c r="D7" s="35">
        <f>COUNTIF('Identificación Casos'!G2:G12,Control!C7)</f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Z7" s="1"/>
    </row>
    <row r="8" ht="14.25" customHeight="1">
      <c r="A8" s="1"/>
      <c r="B8" s="36"/>
      <c r="C8" s="34" t="s">
        <v>434</v>
      </c>
      <c r="D8" s="35">
        <f>COUNTIF('Identificación Casos'!$G$2:G34,C8)</f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Z8" s="1"/>
    </row>
    <row r="9" ht="14.25" customHeight="1">
      <c r="A9" s="1"/>
      <c r="B9" s="36"/>
      <c r="C9" s="34" t="s">
        <v>66</v>
      </c>
      <c r="D9" s="35">
        <f>COUNTIF('Identificación Casos'!$G$2:G35,C9)</f>
        <v>7</v>
      </c>
      <c r="E9" s="1"/>
      <c r="F9" s="1"/>
      <c r="G9" s="1"/>
      <c r="H9" s="1"/>
      <c r="I9" s="1"/>
      <c r="J9" s="1"/>
      <c r="K9" s="1"/>
      <c r="L9" s="1"/>
      <c r="M9" s="1"/>
      <c r="N9" s="1"/>
      <c r="O9" s="32"/>
      <c r="P9" s="1"/>
      <c r="Q9" s="1"/>
      <c r="R9" s="1"/>
      <c r="Z9" s="1"/>
    </row>
    <row r="10" ht="14.25" customHeight="1">
      <c r="A10" s="1"/>
      <c r="B10" s="37"/>
      <c r="C10" s="34" t="s">
        <v>91</v>
      </c>
      <c r="D10" s="35">
        <f>COUNTIF('Identificación Casos'!$G$2:G36,C10)</f>
        <v>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Z10" s="1"/>
    </row>
    <row r="11" ht="14.25" customHeight="1">
      <c r="A11" s="1"/>
      <c r="B11" s="38"/>
      <c r="C11" s="38"/>
      <c r="D11" s="3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Z11" s="1"/>
    </row>
    <row r="12" ht="14.25" customHeight="1">
      <c r="A12" s="1"/>
      <c r="B12" s="38"/>
      <c r="C12" s="38"/>
      <c r="D12" s="3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Z12" s="1"/>
    </row>
    <row r="13" ht="14.25" customHeight="1">
      <c r="A13" s="1"/>
      <c r="B13" s="40" t="s">
        <v>435</v>
      </c>
      <c r="C13" s="41"/>
      <c r="D13" s="35">
        <f>COUNTIF('Identificación Casos'!A2:A32,"*")</f>
        <v>31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Z13" s="1"/>
    </row>
    <row r="14" ht="14.25" customHeight="1">
      <c r="A14" s="1"/>
      <c r="B14" s="38"/>
      <c r="C14" s="38"/>
      <c r="D14" s="3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Z14" s="1"/>
    </row>
    <row r="15" ht="14.25" customHeight="1">
      <c r="A15" s="1"/>
      <c r="B15" s="38"/>
      <c r="C15" s="38"/>
      <c r="D15" s="3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Z15" s="1"/>
    </row>
    <row r="16" ht="14.25" customHeight="1">
      <c r="A16" s="1"/>
      <c r="B16" s="42" t="s">
        <v>436</v>
      </c>
      <c r="C16" s="43"/>
      <c r="D16" s="44">
        <f>SUM(D6+D7+D9+D10)/D13</f>
        <v>0.5806451613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Z16" s="1"/>
    </row>
    <row r="17" ht="14.25" customHeight="1">
      <c r="A17" s="1"/>
      <c r="B17" s="45"/>
      <c r="C17" s="46"/>
      <c r="D17" s="3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47"/>
      <c r="N20" s="8"/>
      <c r="O20" s="1"/>
      <c r="P20" s="1"/>
      <c r="Q20" s="1"/>
      <c r="R20" s="1"/>
      <c r="Z20" s="1"/>
    </row>
    <row r="21" ht="14.25" customHeight="1">
      <c r="A21" s="1"/>
      <c r="B21" s="32"/>
      <c r="C21" s="1"/>
      <c r="D21" s="1"/>
      <c r="E21" s="1"/>
      <c r="F21" s="1"/>
      <c r="G21" s="1"/>
      <c r="H21" s="1"/>
      <c r="I21" s="1"/>
      <c r="J21" s="1"/>
      <c r="K21" s="1"/>
      <c r="L21" s="1"/>
      <c r="M21" s="9"/>
      <c r="O21" s="1"/>
      <c r="P21" s="1"/>
      <c r="Q21" s="1"/>
      <c r="R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R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R23" s="1"/>
    </row>
    <row r="24" ht="14.25" customHeight="1">
      <c r="A24" s="1"/>
      <c r="D24" s="1"/>
      <c r="E24" s="1"/>
      <c r="F24" s="1"/>
      <c r="G24" s="1"/>
      <c r="H24" s="1"/>
      <c r="I24" s="1"/>
      <c r="J24" s="1"/>
      <c r="R24" s="1"/>
    </row>
    <row r="25" ht="14.25" customHeight="1">
      <c r="A25" s="1"/>
      <c r="D25" s="1"/>
      <c r="E25" s="1"/>
      <c r="F25" s="1"/>
      <c r="G25" s="1"/>
      <c r="H25" s="1"/>
      <c r="I25" s="1"/>
      <c r="J25" s="1"/>
      <c r="R25" s="1"/>
    </row>
    <row r="26" ht="14.25" customHeight="1">
      <c r="A26" s="1"/>
      <c r="D26" s="1"/>
      <c r="E26" s="1"/>
      <c r="F26" s="1"/>
      <c r="G26" s="1"/>
      <c r="H26" s="1"/>
      <c r="I26" s="1"/>
      <c r="J26" s="1"/>
      <c r="R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48" t="s">
        <v>437</v>
      </c>
      <c r="C36" s="49"/>
      <c r="D36" s="43"/>
      <c r="E36" s="50"/>
      <c r="F36" s="41"/>
      <c r="G36" s="51">
        <f>COUNTIF('Identificación Casos'!H2:H1000,E36)</f>
        <v>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52"/>
      <c r="D37" s="53"/>
      <c r="E37" s="50"/>
      <c r="F37" s="41"/>
      <c r="G37" s="51">
        <f>COUNTIF('Identificación Casos'!H3:H1001,E37)</f>
        <v>0</v>
      </c>
      <c r="H37" s="21"/>
      <c r="I37" s="21"/>
      <c r="J37" s="21"/>
      <c r="K37" s="2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52"/>
      <c r="D38" s="53"/>
      <c r="E38" s="50"/>
      <c r="F38" s="41"/>
      <c r="G38" s="51">
        <f>COUNTIF('Identificación Casos'!H4:H1002,E38)</f>
        <v>0</v>
      </c>
      <c r="H38" s="21"/>
      <c r="I38" s="21"/>
      <c r="J38" s="21"/>
      <c r="K38" s="2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45"/>
      <c r="C39" s="54"/>
      <c r="D39" s="46"/>
      <c r="E39" s="50"/>
      <c r="F39" s="41"/>
      <c r="G39" s="55">
        <f>COUNTIF('Identificación Casos'!H5:H1003,E39)</f>
        <v>0</v>
      </c>
      <c r="H39" s="21"/>
      <c r="I39" s="21"/>
      <c r="J39" s="21"/>
      <c r="K39" s="2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H40" s="21"/>
      <c r="I40" s="21"/>
      <c r="J40" s="21"/>
      <c r="K40" s="2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F41" s="56" t="s">
        <v>438</v>
      </c>
      <c r="G41" s="21">
        <f>SUM(G36:G39)</f>
        <v>0</v>
      </c>
      <c r="H41" s="21"/>
      <c r="I41" s="21"/>
      <c r="J41" s="2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21"/>
      <c r="I42" s="21"/>
      <c r="J42" s="2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E37:F37"/>
    <mergeCell ref="E38:F38"/>
    <mergeCell ref="B6:B10"/>
    <mergeCell ref="B13:C13"/>
    <mergeCell ref="B16:C17"/>
    <mergeCell ref="D16:D17"/>
    <mergeCell ref="M20:N21"/>
    <mergeCell ref="B36:D39"/>
    <mergeCell ref="E36:F36"/>
    <mergeCell ref="E39:F3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43"/>
    <col customWidth="1" min="3" max="3" width="6.29"/>
    <col customWidth="1" min="4" max="6" width="10.71"/>
  </cols>
  <sheetData>
    <row r="1" ht="14.25" customHeight="1">
      <c r="A1" s="21" t="s">
        <v>13</v>
      </c>
      <c r="B1" s="21" t="s">
        <v>17</v>
      </c>
      <c r="C1" s="56" t="s">
        <v>19</v>
      </c>
      <c r="D1" s="56" t="s">
        <v>439</v>
      </c>
    </row>
    <row r="2" ht="14.25" customHeight="1">
      <c r="A2" s="21" t="s">
        <v>440</v>
      </c>
      <c r="B2" s="21" t="s">
        <v>130</v>
      </c>
      <c r="C2" s="56" t="s">
        <v>31</v>
      </c>
      <c r="D2" s="56" t="s">
        <v>441</v>
      </c>
    </row>
    <row r="3" ht="14.25" customHeight="1">
      <c r="A3" s="21" t="s">
        <v>75</v>
      </c>
      <c r="B3" s="21" t="s">
        <v>434</v>
      </c>
      <c r="C3" s="56" t="s">
        <v>110</v>
      </c>
    </row>
    <row r="4" ht="14.25" customHeight="1">
      <c r="A4" s="21" t="s">
        <v>442</v>
      </c>
      <c r="B4" s="21" t="s">
        <v>66</v>
      </c>
    </row>
    <row r="5" ht="14.25" customHeight="1">
      <c r="A5" s="21" t="s">
        <v>443</v>
      </c>
      <c r="B5" s="21" t="s">
        <v>91</v>
      </c>
    </row>
    <row r="6" ht="14.25" customHeight="1">
      <c r="A6" s="21" t="s">
        <v>26</v>
      </c>
    </row>
    <row r="7" ht="14.25" customHeight="1">
      <c r="A7" s="21" t="s">
        <v>151</v>
      </c>
    </row>
    <row r="8" ht="14.25" customHeight="1">
      <c r="A8" s="21" t="s">
        <v>444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2022-11-12T13:19:55Z</dcterms:created>
  <dc:creator>Guzman Bozo, Jorge</dc:creator>
</cp:coreProperties>
</file>